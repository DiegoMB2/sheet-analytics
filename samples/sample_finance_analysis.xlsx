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001272f51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739953cf272b4206"/>
    <x:sheet xmlns:r="http://schemas.openxmlformats.org/officeDocument/2006/relationships" name="Lancamentos" sheetId="2" r:id="R28896a61e2a64e11"/>
    <x:sheet xmlns:r="http://schemas.openxmlformats.org/officeDocument/2006/relationships" name="Resumo_Mensal" sheetId="3" r:id="R30b52d4d5ab94037"/>
    <x:sheet xmlns:r="http://schemas.openxmlformats.org/officeDocument/2006/relationships" name="Plano_Contas" sheetId="4" r:id="Rd66d55566a8c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dd/mm/yyyy"/>
    <x:numFmt numFmtId="165" formatCode="R$ #,##0.00;[Red](R$ #,##0.00);-"/>
    <x:numFmt numFmtId="166" formatCode="0.0%"/>
  </x:numFmts>
  <x:fonts count="7">
    <x:font>
      <x:sz val="11"/>
      <x:color theme="1"/>
      <x:name val="Calibri"/>
      <x:family val="2"/>
      <x:scheme val="minor"/>
    </x:font>
    <x:font>
      <x:b/>
      <x:sz val="14"/>
    </x:font>
    <x:font>
      <x:b/>
      <x:sz val="12"/>
    </x:font>
    <x:font>
      <x:b/>
      <x:color rgb="00FFFFFF"/>
    </x:font>
    <x:font>
      <x:b/>
      <x:sz val="14"/>
      <x:color rgb="00FFFFFF"/>
    </x:font>
    <x:font>
      <x:b/>
    </x:font>
    <x:font/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1F1F1F"/>
      </x:patternFill>
    </x:fill>
  </x:fills>
  <x:borders count="3">
    <x:border>
      <x:left/>
      <x:right/>
      <x:top/>
      <x:bottom/>
      <x:diagonal/>
    </x:border>
    <x:border>
      <x:bottom style="thin">
        <x:color rgb="00D9D9D9"/>
      </x:bottom>
    </x:border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/>
    </x:xf>
    <x:xf numFmtId="0" fontId="0" fillId="0" borderId="2" xfId="0"/>
    <x:xf numFmtId="164" fontId="0" fillId="0" borderId="2" xfId="0"/>
    <x:xf numFmtId="165" fontId="0" fillId="0" borderId="2" xfId="0"/>
    <x:xf numFmtId="0" fontId="4" fillId="3" borderId="0" xfId="0"/>
    <x:xf numFmtId="0" fontId="5" fillId="0" borderId="0" xfId="0"/>
    <x:xf numFmtId="0" fontId="3" fillId="2" borderId="0" xfId="0" applyAlignment="1">
      <x:alignment horizontal="center"/>
    </x:xf>
    <x:xf numFmtId="165" fontId="0" fillId="0" borderId="0" xfId="0"/>
    <x:xf numFmtId="166" fontId="0" fillId="0" borderId="0" xfId="0"/>
    <x:xf numFmtId="0" fontId="3" fillId="2" borderId="0" xfId="0"/>
    <x:xf numFmtId="164" fontId="0" fillId="0" borderId="2" xfId="0"/>
    <x:xf numFmtId="165" fontId="0" fillId="0" borderId="2" xfId="0"/>
    <x:xf numFmtId="165" fontId="0" fillId="0" borderId="0" xfId="0"/>
    <x:xf numFmtId="166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8172f03614ef5" /><Relationship Type="http://schemas.openxmlformats.org/officeDocument/2006/relationships/theme" Target="/xl/theme/theme1.xml" Id="Recf9766ddfe8405e" /><Relationship Type="http://schemas.openxmlformats.org/officeDocument/2006/relationships/sharedStrings" Target="/xl/sharedStrings.xml" Id="Rd4fdf57e6e0a4c63" /><Relationship Type="http://schemas.openxmlformats.org/officeDocument/2006/relationships/worksheet" Target="/xl/worksheets/sheet1.xml" Id="R739953cf272b4206" /><Relationship Type="http://schemas.openxmlformats.org/officeDocument/2006/relationships/worksheet" Target="/xl/worksheets/sheet2.xml" Id="R28896a61e2a64e11" /><Relationship Type="http://schemas.openxmlformats.org/officeDocument/2006/relationships/worksheet" Target="/xl/worksheets/sheet3.xml" Id="R30b52d4d5ab94037" /><Relationship Type="http://schemas.openxmlformats.org/officeDocument/2006/relationships/worksheet" Target="/xl/worksheets/sheet4.xml" Id="Rd66d55566a8c4662" /></Relationships>
</file>

<file path=xl/tables/table1.xml><?xml version="1.0" encoding="utf-8"?>
<x:table xmlns:x="http://schemas.openxmlformats.org/spreadsheetml/2006/main" id="1" name="tblLancamentos" displayName="tblLancamentos" ref="A1:T181" headerRowCount="1">
  <x:autoFilter ref="A1:T181"/>
  <x:tableColumns count="20">
    <x:tableColumn id="1" name="ID_Lancamento"/>
    <x:tableColumn id="2" name="Data_Lancamento"/>
    <x:tableColumn id="3" name="Competencia"/>
    <x:tableColumn id="4" name="Tipo"/>
    <x:tableColumn id="5" name="Categoria"/>
    <x:tableColumn id="6" name="Subcategoria"/>
    <x:tableColumn id="7" name="Centro_Custo"/>
    <x:tableColumn id="8" name="Descricao"/>
    <x:tableColumn id="9" name="Cliente_Fornecedor"/>
    <x:tableColumn id="10" name="Forma_Pagamento"/>
    <x:tableColumn id="11" name="Conta"/>
    <x:tableColumn id="12" name="Status"/>
    <x:tableColumn id="13" name="Data_Vencimento"/>
    <x:tableColumn id="14" name="Data_Pagamento"/>
    <x:tableColumn id="15" name="Valor_Bruto"/>
    <x:tableColumn id="16" name="Desconto"/>
    <x:tableColumn id="17" name="Juros_Multa"/>
    <x:tableColumn id="18" name="Valor_Liquido"/>
    <x:tableColumn id="19" name="Projeto"/>
    <x:tableColumn id="20" name="Observacao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d5591b57fa44b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40" customWidth="1"/>
    <x:col min="2" max="2" width="40" customWidth="1"/>
  </x:cols>
  <x:sheetData>
    <x:row r="1">
      <x:c r="A1" s="1" t="inlineStr">
        <x:is>
          <x:t xml:space="preserve">Base financeira de exemplo</x:t>
        </x:is>
      </x:c>
    </x:row>
    <x:row r="2">
      <x:c r="A2" t="inlineStr">
        <x:is>
          <x:t xml:space="preserve">Arquivo simulado para testar o app de análise de planilhas.</x:t>
        </x:is>
      </x:c>
    </x:row>
    <x:row r="4">
      <x:c r="A4" s="2" t="inlineStr">
        <x:is>
          <x:t xml:space="preserve">Abas:</x:t>
        </x:is>
      </x:c>
    </x:row>
    <x:row r="5">
      <x:c r="A5" t="inlineStr">
        <x:is>
          <x:t xml:space="preserve">Instrucoes: visão geral da base</x:t>
        </x:is>
      </x:c>
    </x:row>
    <x:row r="6">
      <x:c r="A6" t="inlineStr">
        <x:is>
          <x:t xml:space="preserve">Lancamentos: lançamentos financeiros simulados</x:t>
        </x:is>
      </x:c>
    </x:row>
    <x:row r="7">
      <x:c r="A7" t="inlineStr">
        <x:is>
          <x:t xml:space="preserve">Resumo_Mensal: resumo com fórmulas</x:t>
        </x:is>
      </x:c>
    </x:row>
    <x:row r="8">
      <x:c r="A8" t="inlineStr">
        <x:is>
          <x:t xml:space="preserve">Plano_Contas: categorias e centros de custo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2" customWidth="1"/>
    <x:col min="4" max="4" width="12" customWidth="1"/>
    <x:col min="5" max="5" width="18" customWidth="1"/>
    <x:col min="6" max="6" width="22" customWidth="1"/>
    <x:col min="7" max="7" width="16" customWidth="1"/>
    <x:col min="8" max="8" width="34" customWidth="1"/>
    <x:col min="9" max="9" width="22" customWidth="1"/>
    <x:col min="10" max="10" width="18" customWidth="1"/>
    <x:col min="11" max="11" width="18" customWidth="1"/>
    <x:col min="12" max="12" width="12" customWidth="1"/>
    <x:col min="13" max="13" width="14" customWidth="1"/>
    <x:col min="14" max="14" width="14" customWidth="1"/>
    <x:col min="15" max="15" width="14" customWidth="1"/>
    <x:col min="16" max="16" width="12" customWidth="1"/>
    <x:col min="17" max="17" width="12" customWidth="1"/>
    <x:col min="18" max="18" width="14" customWidth="1"/>
    <x:col min="19" max="19" width="18" customWidth="1"/>
    <x:col min="20" max="20" width="22" customWidth="1"/>
  </x:cols>
  <x:sheetData>
    <x:row r="1">
      <x:c r="A1" s="3" t="inlineStr">
        <x:is>
          <x:t xml:space="preserve">ID_Lancamento</x:t>
        </x:is>
      </x:c>
      <x:c r="B1" s="3" t="inlineStr">
        <x:is>
          <x:t xml:space="preserve">Data_Lancamento</x:t>
        </x:is>
      </x:c>
      <x:c r="C1" s="3" t="inlineStr">
        <x:is>
          <x:t xml:space="preserve">Competencia</x:t>
        </x:is>
      </x:c>
      <x:c r="D1" s="3" t="inlineStr">
        <x:is>
          <x:t xml:space="preserve">Tipo</x:t>
        </x:is>
      </x:c>
      <x:c r="E1" s="3" t="inlineStr">
        <x:is>
          <x:t xml:space="preserve">Categoria</x:t>
        </x:is>
      </x:c>
      <x:c r="F1" s="3" t="inlineStr">
        <x:is>
          <x:t xml:space="preserve">Subcategoria</x:t>
        </x:is>
      </x:c>
      <x:c r="G1" s="3" t="inlineStr">
        <x:is>
          <x:t xml:space="preserve">Centro_Custo</x:t>
        </x:is>
      </x:c>
      <x:c r="H1" s="3" t="inlineStr">
        <x:is>
          <x:t xml:space="preserve">Descricao</x:t>
        </x:is>
      </x:c>
      <x:c r="I1" s="3" t="inlineStr">
        <x:is>
          <x:t xml:space="preserve">Cliente_Fornecedor</x:t>
        </x:is>
      </x:c>
      <x:c r="J1" s="3" t="inlineStr">
        <x:is>
          <x:t xml:space="preserve">Forma_Pagamento</x:t>
        </x:is>
      </x:c>
      <x:c r="K1" s="3" t="inlineStr">
        <x:is>
          <x:t xml:space="preserve">Conta</x:t>
        </x:is>
      </x:c>
      <x:c r="L1" s="3" t="inlineStr">
        <x:is>
          <x:t xml:space="preserve">Status</x:t>
        </x:is>
      </x:c>
      <x:c r="M1" s="3" t="inlineStr">
        <x:is>
          <x:t xml:space="preserve">Data_Vencimento</x:t>
        </x:is>
      </x:c>
      <x:c r="N1" s="3" t="inlineStr">
        <x:is>
          <x:t xml:space="preserve">Data_Pagamento</x:t>
        </x:is>
      </x:c>
      <x:c r="O1" s="3" t="inlineStr">
        <x:is>
          <x:t xml:space="preserve">Valor_Bruto</x:t>
        </x:is>
      </x:c>
      <x:c r="P1" s="3" t="inlineStr">
        <x:is>
          <x:t xml:space="preserve">Desconto</x:t>
        </x:is>
      </x:c>
      <x:c r="Q1" s="3" t="inlineStr">
        <x:is>
          <x:t xml:space="preserve">Juros_Multa</x:t>
        </x:is>
      </x:c>
      <x:c r="R1" s="3" t="inlineStr">
        <x:is>
          <x:t xml:space="preserve">Valor_Liquido</x:t>
        </x:is>
      </x:c>
      <x:c r="S1" s="3" t="inlineStr">
        <x:is>
          <x:t xml:space="preserve">Projeto</x:t>
        </x:is>
      </x:c>
      <x:c r="T1" s="3" t="inlineStr">
        <x:is>
          <x:t xml:space="preserve">Observacao</x:t>
        </x:is>
      </x:c>
    </x:row>
    <x:row r="2">
      <x:c r="A2" s="4" t="n">
        <x:v>1</x:v>
      </x:c>
      <x:c r="B2" s="13" t="n">
        <x:v>45740</x:v>
      </x:c>
      <x:c r="C2" s="4" t="inlineStr">
        <x:is>
          <x:t xml:space="preserve">2025-03</x:t>
        </x:is>
      </x:c>
      <x:c r="D2" s="4" t="inlineStr">
        <x:is>
          <x:t xml:space="preserve">Despesa</x:t>
        </x:is>
      </x:c>
      <x:c r="E2" s="4" t="inlineStr">
        <x:is>
          <x:t xml:space="preserve">Operacional</x:t>
        </x:is>
      </x:c>
      <x:c r="F2" s="4" t="inlineStr">
        <x:is>
          <x:t xml:space="preserve">Material de Escritório</x:t>
        </x:is>
      </x:c>
      <x:c r="G2" s="4" t="inlineStr">
        <x:is>
          <x:t xml:space="preserve">Comercial</x:t>
        </x:is>
      </x:c>
      <x:c r="H2" s="4" t="inlineStr">
        <x:is>
          <x:t xml:space="preserve">Material de Escritório - Fornecedor Nexus</x:t>
        </x:is>
      </x:c>
      <x:c r="I2" s="4" t="inlineStr">
        <x:is>
          <x:t xml:space="preserve">Fornecedor Nexus</x:t>
        </x:is>
      </x:c>
      <x:c r="J2" s="4" t="inlineStr">
        <x:is>
          <x:t xml:space="preserve">Boleto</x:t>
        </x:is>
      </x:c>
      <x:c r="K2" s="4" t="inlineStr">
        <x:is>
          <x:t xml:space="preserve">Banco Principal</x:t>
        </x:is>
      </x:c>
      <x:c r="L2" s="4" t="inlineStr">
        <x:is>
          <x:t xml:space="preserve">Pago</x:t>
        </x:is>
      </x:c>
      <x:c r="M2" s="13" t="n">
        <x:v>45758</x:v>
      </x:c>
      <x:c r="N2" s="13" t="n">
        <x:v>45758</x:v>
      </x:c>
      <x:c r="O2" s="14" t="n">
        <x:v>14797.24</x:v>
      </x:c>
      <x:c r="P2" s="14" t="n">
        <x:v>0</x:v>
      </x:c>
      <x:c r="Q2" s="14" t="n">
        <x:v>0</x:v>
      </x:c>
      <x:c r="R2" s="14">
        <x:f>IF(D2="Receita",O2-P2+Q2,-(O2-P2+Q2))</x:f>
        <x:v>-14797.24</x:v>
      </x:c>
      <x:c r="S2" s="4" t="inlineStr">
        <x:is>
          <x:t xml:space="preserve">Projeto Aurora</x:t>
        </x:is>
      </x:c>
      <x:c r="T2" s="4" t="inlineStr">
        <x:is>
          <x:t xml:space="preserve">Contrato recorrente</x:t>
        </x:is>
      </x:c>
    </x:row>
    <x:row r="3">
      <x:c r="A3" s="4" t="n">
        <x:v>2</x:v>
      </x:c>
      <x:c r="B3" s="13" t="n">
        <x:v>45765</x:v>
      </x:c>
      <x:c r="C3" s="4" t="inlineStr">
        <x:is>
          <x:t xml:space="preserve">2025-04</x:t>
        </x:is>
      </x:c>
      <x:c r="D3" s="4" t="inlineStr">
        <x:is>
          <x:t xml:space="preserve">Receita</x:t>
        </x:is>
      </x:c>
      <x:c r="E3" s="4" t="inlineStr">
        <x:is>
          <x:t xml:space="preserve">Vendas</x:t>
        </x:is>
      </x:c>
      <x:c r="F3" s="4" t="inlineStr">
        <x:is>
          <x:t xml:space="preserve">Assinatura Mensal</x:t>
        </x:is>
      </x:c>
      <x:c r="G3" s="4" t="inlineStr">
        <x:is>
          <x:t xml:space="preserve">Comercial</x:t>
        </x:is>
      </x:c>
      <x:c r="H3" s="4" t="inlineStr">
        <x:is>
          <x:t xml:space="preserve">Assinatura Mensal - Cliente Alfa</x:t>
        </x:is>
      </x:c>
      <x:c r="I3" s="4" t="inlineStr">
        <x:is>
          <x:t xml:space="preserve">Cliente Alfa</x:t>
        </x:is>
      </x:c>
      <x:c r="J3" s="4" t="inlineStr">
        <x:is>
          <x:t xml:space="preserve">TED</x:t>
        </x:is>
      </x:c>
      <x:c r="K3" s="4" t="inlineStr">
        <x:is>
          <x:t xml:space="preserve">Banco Principal</x:t>
        </x:is>
      </x:c>
      <x:c r="L3" s="4" t="inlineStr">
        <x:is>
          <x:t xml:space="preserve">Atrasado</x:t>
        </x:is>
      </x:c>
      <x:c r="M3" s="13" t="n">
        <x:v>45785</x:v>
      </x:c>
      <x:c r="N3" s="13" t="n"/>
      <x:c r="O3" s="14" t="n">
        <x:v>29199.55</x:v>
      </x:c>
      <x:c r="P3" s="14" t="n">
        <x:v>0</x:v>
      </x:c>
      <x:c r="Q3" s="14" t="n">
        <x:v>0</x:v>
      </x:c>
      <x:c r="R3" s="14">
        <x:f>IF(D3="Receita",O3-P3+Q3,-(O3-P3+Q3))</x:f>
        <x:v>29199.55</x:v>
      </x:c>
      <x:c r="S3" s="4" t="inlineStr">
        <x:is>
          <x:t xml:space="preserve">Projeto Atlas</x:t>
        </x:is>
      </x:c>
      <x:c r="T3" s="4" t="inlineStr">
        <x:is>
          <x:t xml:space="preserve"/>
        </x:is>
      </x:c>
    </x:row>
    <x:row r="4">
      <x:c r="A4" s="4" t="n">
        <x:v>3</x:v>
      </x:c>
      <x:c r="B4" s="13" t="n">
        <x:v>45800</x:v>
      </x:c>
      <x:c r="C4" s="4" t="inlineStr">
        <x:is>
          <x:t xml:space="preserve">2025-05</x:t>
        </x:is>
      </x:c>
      <x:c r="D4" s="4" t="inlineStr">
        <x:is>
          <x:t xml:space="preserve">Despesa</x:t>
        </x:is>
      </x:c>
      <x:c r="E4" s="4" t="inlineStr">
        <x:is>
          <x:t xml:space="preserve">Tecnologia</x:t>
        </x:is>
      </x:c>
      <x:c r="F4" s="4" t="inlineStr">
        <x:is>
          <x:t xml:space="preserve">Licenças</x:t>
        </x:is>
      </x:c>
      <x:c r="G4" s="4" t="inlineStr">
        <x:is>
          <x:t xml:space="preserve">Diretoria</x:t>
        </x:is>
      </x:c>
      <x:c r="H4" s="4" t="inlineStr">
        <x:is>
          <x:t xml:space="preserve">Licenças - CloudFast</x:t>
        </x:is>
      </x:c>
      <x:c r="I4" s="4" t="inlineStr">
        <x:is>
          <x:t xml:space="preserve">CloudFast</x:t>
        </x:is>
      </x:c>
      <x:c r="J4" s="4" t="inlineStr">
        <x:is>
          <x:t xml:space="preserve">Boleto</x:t>
        </x:is>
      </x:c>
      <x:c r="K4" s="4" t="inlineStr">
        <x:is>
          <x:t xml:space="preserve">Caixa</x:t>
        </x:is>
      </x:c>
      <x:c r="L4" s="4" t="inlineStr">
        <x:is>
          <x:t xml:space="preserve">Pago</x:t>
        </x:is>
      </x:c>
      <x:c r="M4" s="13" t="n">
        <x:v>45805</x:v>
      </x:c>
      <x:c r="N4" s="13" t="n">
        <x:v>45805</x:v>
      </x:c>
      <x:c r="O4" s="14" t="n">
        <x:v>2190.84</x:v>
      </x:c>
      <x:c r="P4" s="14" t="n">
        <x:v>0</x:v>
      </x:c>
      <x:c r="Q4" s="14" t="n">
        <x:v>10</x:v>
      </x:c>
      <x:c r="R4" s="14">
        <x:f>IF(D4="Receita",O4-P4+Q4,-(O4-P4+Q4))</x:f>
        <x:v>-2200.84</x:v>
      </x:c>
      <x:c r="S4" s="4" t="inlineStr">
        <x:is>
          <x:t xml:space="preserve">Projeto Aurora</x:t>
        </x:is>
      </x:c>
      <x:c r="T4" s="4" t="inlineStr">
        <x:is>
          <x:t xml:space="preserve">Ajuste financeiro</x:t>
        </x:is>
      </x:c>
    </x:row>
    <x:row r="5">
      <x:c r="A5" s="4" t="n">
        <x:v>4</x:v>
      </x:c>
      <x:c r="B5" s="13" t="n">
        <x:v>45674</x:v>
      </x:c>
      <x:c r="C5" s="4" t="inlineStr">
        <x:is>
          <x:t xml:space="preserve">2025-01</x:t>
        </x:is>
      </x:c>
      <x:c r="D5" s="4" t="inlineStr">
        <x:is>
          <x:t xml:space="preserve">Despesa</x:t>
        </x:is>
      </x:c>
      <x:c r="E5" s="4" t="inlineStr">
        <x:is>
          <x:t xml:space="preserve">Administrativo</x:t>
        </x:is>
      </x:c>
      <x:c r="F5" s="4" t="inlineStr">
        <x:is>
          <x:t xml:space="preserve">Jurídico</x:t>
        </x:is>
      </x:c>
      <x:c r="G5" s="4" t="inlineStr">
        <x:is>
          <x:t xml:space="preserve">Diretoria</x:t>
        </x:is>
      </x:c>
      <x:c r="H5" s="4" t="inlineStr">
        <x:is>
          <x:t xml:space="preserve">Jurídico - MídiaPro</x:t>
        </x:is>
      </x:c>
      <x:c r="I5" s="4" t="inlineStr">
        <x:is>
          <x:t xml:space="preserve">MídiaPro</x:t>
        </x:is>
      </x:c>
      <x:c r="J5" s="4" t="inlineStr">
        <x:is>
          <x:t xml:space="preserve">Cartão</x:t>
        </x:is>
      </x:c>
      <x:c r="K5" s="4" t="inlineStr">
        <x:is>
          <x:t xml:space="preserve">Caixa</x:t>
        </x:is>
      </x:c>
      <x:c r="L5" s="4" t="inlineStr">
        <x:is>
          <x:t xml:space="preserve">Pendente</x:t>
        </x:is>
      </x:c>
      <x:c r="M5" s="13" t="n">
        <x:v>45692</x:v>
      </x:c>
      <x:c r="N5" s="13" t="n"/>
      <x:c r="O5" s="14" t="n">
        <x:v>7742.45</x:v>
      </x:c>
      <x:c r="P5" s="14" t="n">
        <x:v>0</x:v>
      </x:c>
      <x:c r="Q5" s="14" t="n">
        <x:v>0</x:v>
      </x:c>
      <x:c r="R5" s="14">
        <x:f>IF(D5="Receita",O5-P5+Q5,-(O5-P5+Q5))</x:f>
        <x:v>-7742.45</x:v>
      </x:c>
      <x:c r="S5" s="4" t="inlineStr">
        <x:is>
          <x:t xml:space="preserve">Projeto Atlas</x:t>
        </x:is>
      </x:c>
      <x:c r="T5" s="4" t="inlineStr">
        <x:is>
          <x:t xml:space="preserve">Renovação anual</x:t>
        </x:is>
      </x:c>
    </x:row>
    <x:row r="6">
      <x:c r="A6" s="4" t="n">
        <x:v>5</x:v>
      </x:c>
      <x:c r="B6" s="13" t="n">
        <x:v>45836</x:v>
      </x:c>
      <x:c r="C6" s="4" t="inlineStr">
        <x:is>
          <x:t xml:space="preserve">2025-06</x:t>
        </x:is>
      </x:c>
      <x:c r="D6" s="4" t="inlineStr">
        <x:is>
          <x:t xml:space="preserve">Despesa</x:t>
        </x:is>
      </x:c>
      <x:c r="E6" s="4" t="inlineStr">
        <x:is>
          <x:t xml:space="preserve">Folha</x:t>
        </x:is>
      </x:c>
      <x:c r="F6" s="4" t="inlineStr">
        <x:is>
          <x:t xml:space="preserve">Benefícios</x:t>
        </x:is>
      </x:c>
      <x:c r="G6" s="4" t="inlineStr">
        <x:is>
          <x:t xml:space="preserve">Diretoria</x:t>
        </x:is>
      </x:c>
      <x:c r="H6" s="4" t="inlineStr">
        <x:is>
          <x:t xml:space="preserve">Benefícios - ContaFácil</x:t>
        </x:is>
      </x:c>
      <x:c r="I6" s="4" t="inlineStr">
        <x:is>
          <x:t xml:space="preserve">ContaFácil</x:t>
        </x:is>
      </x:c>
      <x:c r="J6" s="4" t="inlineStr">
        <x:is>
          <x:t xml:space="preserve">PIX</x:t>
        </x:is>
      </x:c>
      <x:c r="K6" s="4" t="inlineStr">
        <x:is>
          <x:t xml:space="preserve">Banco Principal</x:t>
        </x:is>
      </x:c>
      <x:c r="L6" s="4" t="inlineStr">
        <x:is>
          <x:t xml:space="preserve">Pago</x:t>
        </x:is>
      </x:c>
      <x:c r="M6" s="13" t="n">
        <x:v>45850</x:v>
      </x:c>
      <x:c r="N6" s="13" t="n">
        <x:v>45850</x:v>
      </x:c>
      <x:c r="O6" s="14" t="n">
        <x:v>8952.49</x:v>
      </x:c>
      <x:c r="P6" s="14" t="n">
        <x:v>0</x:v>
      </x:c>
      <x:c r="Q6" s="14" t="n">
        <x:v>25</x:v>
      </x:c>
      <x:c r="R6" s="14">
        <x:f>IF(D6="Receita",O6-P6+Q6,-(O6-P6+Q6))</x:f>
        <x:v>-8977.49</x:v>
      </x:c>
      <x:c r="S6" s="4" t="inlineStr">
        <x:is>
          <x:t xml:space="preserve">Expansão</x:t>
        </x:is>
      </x:c>
      <x:c r="T6" s="4" t="inlineStr">
        <x:is>
          <x:t xml:space="preserve">Contrato recorrente</x:t>
        </x:is>
      </x:c>
    </x:row>
    <x:row r="7">
      <x:c r="A7" s="4" t="n">
        <x:v>6</x:v>
      </x:c>
      <x:c r="B7" s="13" t="n">
        <x:v>45700</x:v>
      </x:c>
      <x:c r="C7" s="4" t="inlineStr">
        <x:is>
          <x:t xml:space="preserve">2025-02</x:t>
        </x:is>
      </x:c>
      <x:c r="D7" s="4" t="inlineStr">
        <x:is>
          <x:t xml:space="preserve">Despesa</x:t>
        </x:is>
      </x:c>
      <x:c r="E7" s="4" t="inlineStr">
        <x:is>
          <x:t xml:space="preserve">Marketing</x:t>
        </x:is>
      </x:c>
      <x:c r="F7" s="4" t="inlineStr">
        <x:is>
          <x:t xml:space="preserve">Eventos</x:t>
        </x:is>
      </x:c>
      <x:c r="G7" s="4" t="inlineStr">
        <x:is>
          <x:t xml:space="preserve">Comercial</x:t>
        </x:is>
      </x:c>
      <x:c r="H7" s="4" t="inlineStr">
        <x:is>
          <x:t xml:space="preserve">Eventos - MídiaPro</x:t>
        </x:is>
      </x:c>
      <x:c r="I7" s="4" t="inlineStr">
        <x:is>
          <x:t xml:space="preserve">MídiaPro</x:t>
        </x:is>
      </x:c>
      <x:c r="J7" s="4" t="inlineStr">
        <x:is>
          <x:t xml:space="preserve">Cartão</x:t>
        </x:is>
      </x:c>
      <x:c r="K7" s="4" t="inlineStr">
        <x:is>
          <x:t xml:space="preserve">Caixa</x:t>
        </x:is>
      </x:c>
      <x:c r="L7" s="4" t="inlineStr">
        <x:is>
          <x:t xml:space="preserve">Atrasado</x:t>
        </x:is>
      </x:c>
      <x:c r="M7" s="13" t="n">
        <x:v>45717</x:v>
      </x:c>
      <x:c r="N7" s="13" t="n"/>
      <x:c r="O7" s="14" t="n">
        <x:v>17319.38</x:v>
      </x:c>
      <x:c r="P7" s="14" t="n">
        <x:v>0</x:v>
      </x:c>
      <x:c r="Q7" s="14" t="n">
        <x:v>40</x:v>
      </x:c>
      <x:c r="R7" s="14">
        <x:f>IF(D7="Receita",O7-P7+Q7,-(O7-P7+Q7))</x:f>
        <x:v>-17359.38</x:v>
      </x:c>
      <x:c r="S7" s="4" t="inlineStr">
        <x:is>
          <x:t xml:space="preserve">Projeto Sigma</x:t>
        </x:is>
      </x:c>
      <x:c r="T7" s="4" t="inlineStr">
        <x:is>
          <x:t xml:space="preserve">Ajuste financeiro</x:t>
        </x:is>
      </x:c>
    </x:row>
    <x:row r="8">
      <x:c r="A8" s="4" t="n">
        <x:v>7</x:v>
      </x:c>
      <x:c r="B8" s="13" t="n">
        <x:v>45785</x:v>
      </x:c>
      <x:c r="C8" s="4" t="inlineStr">
        <x:is>
          <x:t xml:space="preserve">2025-05</x:t>
        </x:is>
      </x:c>
      <x:c r="D8" s="4" t="inlineStr">
        <x:is>
          <x:t xml:space="preserve">Despesa</x:t>
        </x:is>
      </x:c>
      <x:c r="E8" s="4" t="inlineStr">
        <x:is>
          <x:t xml:space="preserve">Operacional</x:t>
        </x:is>
      </x:c>
      <x:c r="F8" s="4" t="inlineStr">
        <x:is>
          <x:t xml:space="preserve">Frete</x:t>
        </x:is>
      </x:c>
      <x:c r="G8" s="4" t="inlineStr">
        <x:is>
          <x:t xml:space="preserve">Backoffice</x:t>
        </x:is>
      </x:c>
      <x:c r="H8" s="4" t="inlineStr">
        <x:is>
          <x:t xml:space="preserve">Frete - Fornecedor Nexus</x:t>
        </x:is>
      </x:c>
      <x:c r="I8" s="4" t="inlineStr">
        <x:is>
          <x:t xml:space="preserve">Fornecedor Nexus</x:t>
        </x:is>
      </x:c>
      <x:c r="J8" s="4" t="inlineStr">
        <x:is>
          <x:t xml:space="preserve">TED</x:t>
        </x:is>
      </x:c>
      <x:c r="K8" s="4" t="inlineStr">
        <x:is>
          <x:t xml:space="preserve">Caixa</x:t>
        </x:is>
      </x:c>
      <x:c r="L8" s="4" t="inlineStr">
        <x:is>
          <x:t xml:space="preserve">Pago</x:t>
        </x:is>
      </x:c>
      <x:c r="M8" s="13" t="n">
        <x:v>45786</x:v>
      </x:c>
      <x:c r="N8" s="13" t="n">
        <x:v>45786</x:v>
      </x:c>
      <x:c r="O8" s="14" t="n">
        <x:v>8575.84</x:v>
      </x:c>
      <x:c r="P8" s="14" t="n">
        <x:v>100</x:v>
      </x:c>
      <x:c r="Q8" s="14" t="n">
        <x:v>0</x:v>
      </x:c>
      <x:c r="R8" s="14">
        <x:f>IF(D8="Receita",O8-P8+Q8,-(O8-P8+Q8))</x:f>
        <x:v>-8475.84</x:v>
      </x:c>
      <x:c r="S8" s="4" t="inlineStr">
        <x:is>
          <x:t xml:space="preserve">Rotina</x:t>
        </x:is>
      </x:c>
      <x:c r="T8" s="4" t="inlineStr">
        <x:is>
          <x:t xml:space="preserve">Sem observações</x:t>
        </x:is>
      </x:c>
    </x:row>
    <x:row r="9">
      <x:c r="A9" s="4" t="n">
        <x:v>8</x:v>
      </x:c>
      <x:c r="B9" s="13" t="n">
        <x:v>45746</x:v>
      </x:c>
      <x:c r="C9" s="4" t="inlineStr">
        <x:is>
          <x:t xml:space="preserve">2025-03</x:t>
        </x:is>
      </x:c>
      <x:c r="D9" s="4" t="inlineStr">
        <x:is>
          <x:t xml:space="preserve">Receita</x:t>
        </x:is>
      </x:c>
      <x:c r="E9" s="4" t="inlineStr">
        <x:is>
          <x:t xml:space="preserve">Receita Financeira</x:t>
        </x:is>
      </x:c>
      <x:c r="F9" s="4" t="inlineStr">
        <x:is>
          <x:t xml:space="preserve">Juros Recebidos</x:t>
        </x:is>
      </x:c>
      <x:c r="G9" s="4" t="inlineStr">
        <x:is>
          <x:t xml:space="preserve">Comercial</x:t>
        </x:is>
      </x:c>
      <x:c r="H9" s="4" t="inlineStr">
        <x:is>
          <x:t xml:space="preserve">Juros Recebidos - Cliente Beta</x:t>
        </x:is>
      </x:c>
      <x:c r="I9" s="4" t="inlineStr">
        <x:is>
          <x:t xml:space="preserve">Cliente Beta</x:t>
        </x:is>
      </x:c>
      <x:c r="J9" s="4" t="inlineStr">
        <x:is>
          <x:t xml:space="preserve">Boleto</x:t>
        </x:is>
      </x:c>
      <x:c r="K9" s="4" t="inlineStr">
        <x:is>
          <x:t xml:space="preserve">Conta Investimento</x:t>
        </x:is>
      </x:c>
      <x:c r="L9" s="4" t="inlineStr">
        <x:is>
          <x:t xml:space="preserve">Pago</x:t>
        </x:is>
      </x:c>
      <x:c r="M9" s="13" t="n">
        <x:v>45752</x:v>
      </x:c>
      <x:c r="N9" s="13" t="n">
        <x:v>45752</x:v>
      </x:c>
      <x:c r="O9" s="14" t="n">
        <x:v>21965.8</x:v>
      </x:c>
      <x:c r="P9" s="14" t="n">
        <x:v>1098.29</x:v>
      </x:c>
      <x:c r="Q9" s="14" t="n">
        <x:v>0</x:v>
      </x:c>
      <x:c r="R9" s="14">
        <x:f>IF(D9="Receita",O9-P9+Q9,-(O9-P9+Q9))</x:f>
        <x:v>20867.51</x:v>
      </x:c>
      <x:c r="S9" s="4" t="inlineStr">
        <x:is>
          <x:t xml:space="preserve">Rotina</x:t>
        </x:is>
      </x:c>
      <x:c r="T9" s="4" t="inlineStr">
        <x:is>
          <x:t xml:space="preserve">Contrato recorrente</x:t>
        </x:is>
      </x:c>
    </x:row>
    <x:row r="10">
      <x:c r="A10" s="4" t="n">
        <x:v>9</x:v>
      </x:c>
      <x:c r="B10" s="13" t="n">
        <x:v>45785</x:v>
      </x:c>
      <x:c r="C10" s="4" t="inlineStr">
        <x:is>
          <x:t xml:space="preserve">2025-05</x:t>
        </x:is>
      </x:c>
      <x:c r="D10" s="4" t="inlineStr">
        <x:is>
          <x:t xml:space="preserve">Receita</x:t>
        </x:is>
      </x:c>
      <x:c r="E10" s="4" t="inlineStr">
        <x:is>
          <x:t xml:space="preserve">Receita Financeira</x:t>
        </x:is>
      </x:c>
      <x:c r="F10" s="4" t="inlineStr">
        <x:is>
          <x:t xml:space="preserve">Juros Recebidos</x:t>
        </x:is>
      </x:c>
      <x:c r="G10" s="4" t="inlineStr">
        <x:is>
          <x:t xml:space="preserve">Comercial</x:t>
        </x:is>
      </x:c>
      <x:c r="H10" s="4" t="inlineStr">
        <x:is>
          <x:t xml:space="preserve">Juros Recebidos - Cliente Ômega</x:t>
        </x:is>
      </x:c>
      <x:c r="I10" s="4" t="inlineStr">
        <x:is>
          <x:t xml:space="preserve">Cliente Ômega</x:t>
        </x:is>
      </x:c>
      <x:c r="J10" s="4" t="inlineStr">
        <x:is>
          <x:t xml:space="preserve">TED</x:t>
        </x:is>
      </x:c>
      <x:c r="K10" s="4" t="inlineStr">
        <x:is>
          <x:t xml:space="preserve">Caixa</x:t>
        </x:is>
      </x:c>
      <x:c r="L10" s="4" t="inlineStr">
        <x:is>
          <x:t xml:space="preserve">Pago</x:t>
        </x:is>
      </x:c>
      <x:c r="M10" s="13" t="n">
        <x:v>45802</x:v>
      </x:c>
      <x:c r="N10" s="13" t="n">
        <x:v>45802</x:v>
      </x:c>
      <x:c r="O10" s="14" t="n">
        <x:v>10807.61</x:v>
      </x:c>
      <x:c r="P10" s="14" t="n">
        <x:v>0</x:v>
      </x:c>
      <x:c r="Q10" s="14" t="n">
        <x:v>15</x:v>
      </x:c>
      <x:c r="R10" s="14">
        <x:f>IF(D10="Receita",O10-P10+Q10,-(O10-P10+Q10))</x:f>
        <x:v>10822.61</x:v>
      </x:c>
      <x:c r="S10" s="4" t="inlineStr">
        <x:is>
          <x:t xml:space="preserve">Rotina</x:t>
        </x:is>
      </x:c>
      <x:c r="T10" s="4" t="inlineStr">
        <x:is>
          <x:t xml:space="preserve">Renovação anual</x:t>
        </x:is>
      </x:c>
    </x:row>
    <x:row r="11">
      <x:c r="A11" s="4" t="n">
        <x:v>10</x:v>
      </x:c>
      <x:c r="B11" s="13" t="n">
        <x:v>45696</x:v>
      </x:c>
      <x:c r="C11" s="4" t="inlineStr">
        <x:is>
          <x:t xml:space="preserve">2025-02</x:t>
        </x:is>
      </x:c>
      <x:c r="D11" s="4" t="inlineStr">
        <x:is>
          <x:t xml:space="preserve">Receita</x:t>
        </x:is>
      </x:c>
      <x:c r="E11" s="4" t="inlineStr">
        <x:is>
          <x:t xml:space="preserve">Vendas</x:t>
        </x:is>
      </x:c>
      <x:c r="F11" s="4" t="inlineStr">
        <x:is>
          <x:t xml:space="preserve">Produto B</x:t>
        </x:is>
      </x:c>
      <x:c r="G11" s="4" t="inlineStr">
        <x:is>
          <x:t xml:space="preserve">Comercial</x:t>
        </x:is>
      </x:c>
      <x:c r="H11" s="4" t="inlineStr">
        <x:is>
          <x:t xml:space="preserve">Produto B - Cliente Beta</x:t>
        </x:is>
      </x:c>
      <x:c r="I11" s="4" t="inlineStr">
        <x:is>
          <x:t xml:space="preserve">Cliente Beta</x:t>
        </x:is>
      </x:c>
      <x:c r="J11" s="4" t="inlineStr">
        <x:is>
          <x:t xml:space="preserve">Boleto</x:t>
        </x:is>
      </x:c>
      <x:c r="K11" s="4" t="inlineStr">
        <x:is>
          <x:t xml:space="preserve">Cartão Corporativo</x:t>
        </x:is>
      </x:c>
      <x:c r="L11" s="4" t="inlineStr">
        <x:is>
          <x:t xml:space="preserve">Pago</x:t>
        </x:is>
      </x:c>
      <x:c r="M11" s="13" t="n">
        <x:v>45705</x:v>
      </x:c>
      <x:c r="N11" s="13" t="n">
        <x:v>45705</x:v>
      </x:c>
      <x:c r="O11" s="14" t="n">
        <x:v>1904.11</x:v>
      </x:c>
      <x:c r="P11" s="14" t="n">
        <x:v>0</x:v>
      </x:c>
      <x:c r="Q11" s="14" t="n">
        <x:v>0</x:v>
      </x:c>
      <x:c r="R11" s="14">
        <x:f>IF(D11="Receita",O11-P11+Q11,-(O11-P11+Q11))</x:f>
        <x:v>1904.11</x:v>
      </x:c>
      <x:c r="S11" s="4" t="inlineStr">
        <x:is>
          <x:t xml:space="preserve">Expansão</x:t>
        </x:is>
      </x:c>
      <x:c r="T11" s="4" t="inlineStr">
        <x:is>
          <x:t xml:space="preserve">Pagamento parcial</x:t>
        </x:is>
      </x:c>
    </x:row>
    <x:row r="12">
      <x:c r="A12" s="4" t="n">
        <x:v>11</x:v>
      </x:c>
      <x:c r="B12" s="13" t="n">
        <x:v>45814</x:v>
      </x:c>
      <x:c r="C12" s="4" t="inlineStr">
        <x:is>
          <x:t xml:space="preserve">2025-06</x:t>
        </x:is>
      </x:c>
      <x:c r="D12" s="4" t="inlineStr">
        <x:is>
          <x:t xml:space="preserve">Despesa</x:t>
        </x:is>
      </x:c>
      <x:c r="E12" s="4" t="inlineStr">
        <x:is>
          <x:t xml:space="preserve">Marketing</x:t>
        </x:is>
      </x:c>
      <x:c r="F12" s="4" t="inlineStr">
        <x:is>
          <x:t xml:space="preserve">Design</x:t>
        </x:is>
      </x:c>
      <x:c r="G12" s="4" t="inlineStr">
        <x:is>
          <x:t xml:space="preserve">Diretoria</x:t>
        </x:is>
      </x:c>
      <x:c r="H12" s="4" t="inlineStr">
        <x:is>
          <x:t xml:space="preserve">Design - OfficePlus</x:t>
        </x:is>
      </x:c>
      <x:c r="I12" s="4" t="inlineStr">
        <x:is>
          <x:t xml:space="preserve">OfficePlus</x:t>
        </x:is>
      </x:c>
      <x:c r="J12" s="4" t="inlineStr">
        <x:is>
          <x:t xml:space="preserve">TED</x:t>
        </x:is>
      </x:c>
      <x:c r="K12" s="4" t="inlineStr">
        <x:is>
          <x:t xml:space="preserve">Banco Principal</x:t>
        </x:is>
      </x:c>
      <x:c r="L12" s="4" t="inlineStr">
        <x:is>
          <x:t xml:space="preserve">Atrasado</x:t>
        </x:is>
      </x:c>
      <x:c r="M12" s="13" t="n">
        <x:v>45828</x:v>
      </x:c>
      <x:c r="N12" s="13" t="n">
        <x:v>45841</x:v>
      </x:c>
      <x:c r="O12" s="14" t="n">
        <x:v>11817</x:v>
      </x:c>
      <x:c r="P12" s="14" t="n">
        <x:v>100</x:v>
      </x:c>
      <x:c r="Q12" s="14" t="n">
        <x:v>0</x:v>
      </x:c>
      <x:c r="R12" s="14">
        <x:f>IF(D12="Receita",O12-P12+Q12,-(O12-P12+Q12))</x:f>
        <x:v>-11717</x:v>
      </x:c>
      <x:c r="S12" s="4" t="inlineStr">
        <x:is>
          <x:t xml:space="preserve">Rotina</x:t>
        </x:is>
      </x:c>
      <x:c r="T12" s="4" t="inlineStr">
        <x:is>
          <x:t xml:space="preserve">Sem observações</x:t>
        </x:is>
      </x:c>
    </x:row>
    <x:row r="13">
      <x:c r="A13" s="4" t="n">
        <x:v>12</x:v>
      </x:c>
      <x:c r="B13" s="13" t="n">
        <x:v>45760</x:v>
      </x:c>
      <x:c r="C13" s="4" t="inlineStr">
        <x:is>
          <x:t xml:space="preserve">2025-04</x:t>
        </x:is>
      </x:c>
      <x:c r="D13" s="4" t="inlineStr">
        <x:is>
          <x:t xml:space="preserve">Receita</x:t>
        </x:is>
      </x:c>
      <x:c r="E13" s="4" t="inlineStr">
        <x:is>
          <x:t xml:space="preserve">Vendas</x:t>
        </x:is>
      </x:c>
      <x:c r="F13" s="4" t="inlineStr">
        <x:is>
          <x:t xml:space="preserve">Produto B</x:t>
        </x:is>
      </x:c>
      <x:c r="G13" s="4" t="inlineStr">
        <x:is>
          <x:t xml:space="preserve">Comercial</x:t>
        </x:is>
      </x:c>
      <x:c r="H13" s="4" t="inlineStr">
        <x:is>
          <x:t xml:space="preserve">Produto B - Cliente Delta</x:t>
        </x:is>
      </x:c>
      <x:c r="I13" s="4" t="inlineStr">
        <x:is>
          <x:t xml:space="preserve">Cliente Delta</x:t>
        </x:is>
      </x:c>
      <x:c r="J13" s="4" t="inlineStr">
        <x:is>
          <x:t xml:space="preserve">PIX</x:t>
        </x:is>
      </x:c>
      <x:c r="K13" s="4" t="inlineStr">
        <x:is>
          <x:t xml:space="preserve">Conta Investimento</x:t>
        </x:is>
      </x:c>
      <x:c r="L13" s="4" t="inlineStr">
        <x:is>
          <x:t xml:space="preserve">Pago</x:t>
        </x:is>
      </x:c>
      <x:c r="M13" s="13" t="n">
        <x:v>45761</x:v>
      </x:c>
      <x:c r="N13" s="13" t="n">
        <x:v>45761</x:v>
      </x:c>
      <x:c r="O13" s="14" t="n">
        <x:v>6937.16</x:v>
      </x:c>
      <x:c r="P13" s="14" t="n">
        <x:v>138.74</x:v>
      </x:c>
      <x:c r="Q13" s="14" t="n">
        <x:v>30</x:v>
      </x:c>
      <x:c r="R13" s="14">
        <x:f>IF(D13="Receita",O13-P13+Q13,-(O13-P13+Q13))</x:f>
        <x:v>6828.42</x:v>
      </x:c>
      <x:c r="S13" s="4" t="inlineStr">
        <x:is>
          <x:t xml:space="preserve">Expansão</x:t>
        </x:is>
      </x:c>
      <x:c r="T13" s="4" t="inlineStr">
        <x:is>
          <x:t xml:space="preserve"/>
        </x:is>
      </x:c>
    </x:row>
    <x:row r="14">
      <x:c r="A14" s="4" t="n">
        <x:v>13</x:v>
      </x:c>
      <x:c r="B14" s="13" t="n">
        <x:v>45751</x:v>
      </x:c>
      <x:c r="C14" s="4" t="inlineStr">
        <x:is>
          <x:t xml:space="preserve">2025-04</x:t>
        </x:is>
      </x:c>
      <x:c r="D14" s="4" t="inlineStr">
        <x:is>
          <x:t xml:space="preserve">Despesa</x:t>
        </x:is>
      </x:c>
      <x:c r="E14" s="4" t="inlineStr">
        <x:is>
          <x:t xml:space="preserve">Folha</x:t>
        </x:is>
      </x:c>
      <x:c r="F14" s="4" t="inlineStr">
        <x:is>
          <x:t xml:space="preserve">Salários</x:t>
        </x:is>
      </x:c>
      <x:c r="G14" s="4" t="inlineStr">
        <x:is>
          <x:t xml:space="preserve">TI</x:t>
        </x:is>
      </x:c>
      <x:c r="H14" s="4" t="inlineStr">
        <x:is>
          <x:t xml:space="preserve">Salários - OfficePlus</x:t>
        </x:is>
      </x:c>
      <x:c r="I14" s="4" t="inlineStr">
        <x:is>
          <x:t xml:space="preserve">OfficePlus</x:t>
        </x:is>
      </x:c>
      <x:c r="J14" s="4" t="inlineStr">
        <x:is>
          <x:t xml:space="preserve">TED</x:t>
        </x:is>
      </x:c>
      <x:c r="K14" s="4" t="inlineStr">
        <x:is>
          <x:t xml:space="preserve">Banco Principal</x:t>
        </x:is>
      </x:c>
      <x:c r="L14" s="4" t="inlineStr">
        <x:is>
          <x:t xml:space="preserve">Pago</x:t>
        </x:is>
      </x:c>
      <x:c r="M14" s="13" t="n">
        <x:v>45770</x:v>
      </x:c>
      <x:c r="N14" s="13" t="n">
        <x:v>45770</x:v>
      </x:c>
      <x:c r="O14" s="14" t="n">
        <x:v>2742.02</x:v>
      </x:c>
      <x:c r="P14" s="14" t="n">
        <x:v>0</x:v>
      </x:c>
      <x:c r="Q14" s="14" t="n">
        <x:v>0</x:v>
      </x:c>
      <x:c r="R14" s="14">
        <x:f>IF(D14="Receita",O14-P14+Q14,-(O14-P14+Q14))</x:f>
        <x:v>-2742.02</x:v>
      </x:c>
      <x:c r="S14" s="4" t="inlineStr">
        <x:is>
          <x:t xml:space="preserve">Projeto Aurora</x:t>
        </x:is>
      </x:c>
      <x:c r="T14" s="4" t="inlineStr">
        <x:is>
          <x:t xml:space="preserve">Contrato recorrente</x:t>
        </x:is>
      </x:c>
    </x:row>
    <x:row r="15">
      <x:c r="A15" s="4" t="n">
        <x:v>14</x:v>
      </x:c>
      <x:c r="B15" s="13" t="n">
        <x:v>45777</x:v>
      </x:c>
      <x:c r="C15" s="4" t="inlineStr">
        <x:is>
          <x:t xml:space="preserve">2025-04</x:t>
        </x:is>
      </x:c>
      <x:c r="D15" s="4" t="inlineStr">
        <x:is>
          <x:t xml:space="preserve">Despesa</x:t>
        </x:is>
      </x:c>
      <x:c r="E15" s="4" t="inlineStr">
        <x:is>
          <x:t xml:space="preserve">Tecnologia</x:t>
        </x:is>
      </x:c>
      <x:c r="F15" s="4" t="inlineStr">
        <x:is>
          <x:t xml:space="preserve">Cloud</x:t>
        </x:is>
      </x:c>
      <x:c r="G15" s="4" t="inlineStr">
        <x:is>
          <x:t xml:space="preserve">Comercial</x:t>
        </x:is>
      </x:c>
      <x:c r="H15" s="4" t="inlineStr">
        <x:is>
          <x:t xml:space="preserve">Cloud - CloudFast</x:t>
        </x:is>
      </x:c>
      <x:c r="I15" s="4" t="inlineStr">
        <x:is>
          <x:t xml:space="preserve">CloudFast</x:t>
        </x:is>
      </x:c>
      <x:c r="J15" s="4" t="inlineStr">
        <x:is>
          <x:t xml:space="preserve">PIX</x:t>
        </x:is>
      </x:c>
      <x:c r="K15" s="4" t="inlineStr">
        <x:is>
          <x:t xml:space="preserve">Conta Investimento</x:t>
        </x:is>
      </x:c>
      <x:c r="L15" s="4" t="inlineStr">
        <x:is>
          <x:t xml:space="preserve">Pago</x:t>
        </x:is>
      </x:c>
      <x:c r="M15" s="13" t="n">
        <x:v>45792</x:v>
      </x:c>
      <x:c r="N15" s="13" t="n">
        <x:v>45792</x:v>
      </x:c>
      <x:c r="O15" s="14" t="n">
        <x:v>13514.16</x:v>
      </x:c>
      <x:c r="P15" s="14" t="n">
        <x:v>100</x:v>
      </x:c>
      <x:c r="Q15" s="14" t="n">
        <x:v>0</x:v>
      </x:c>
      <x:c r="R15" s="14">
        <x:f>IF(D15="Receita",O15-P15+Q15,-(O15-P15+Q15))</x:f>
        <x:v>-13414.16</x:v>
      </x:c>
      <x:c r="S15" s="4" t="inlineStr">
        <x:is>
          <x:t xml:space="preserve">Expansão</x:t>
        </x:is>
      </x:c>
      <x:c r="T15" s="4" t="inlineStr">
        <x:is>
          <x:t xml:space="preserve">Pagamento parcial</x:t>
        </x:is>
      </x:c>
    </x:row>
    <x:row r="16">
      <x:c r="A16" s="4" t="n">
        <x:v>15</x:v>
      </x:c>
      <x:c r="B16" s="13" t="n">
        <x:v>45695</x:v>
      </x:c>
      <x:c r="C16" s="4" t="inlineStr">
        <x:is>
          <x:t xml:space="preserve">2025-02</x:t>
        </x:is>
      </x:c>
      <x:c r="D16" s="4" t="inlineStr">
        <x:is>
          <x:t xml:space="preserve">Despesa</x:t>
        </x:is>
      </x:c>
      <x:c r="E16" s="4" t="inlineStr">
        <x:is>
          <x:t xml:space="preserve">Folha</x:t>
        </x:is>
      </x:c>
      <x:c r="F16" s="4" t="inlineStr">
        <x:is>
          <x:t xml:space="preserve">Benefícios</x:t>
        </x:is>
      </x:c>
      <x:c r="G16" s="4" t="inlineStr">
        <x:is>
          <x:t xml:space="preserve">Comercial</x:t>
        </x:is>
      </x:c>
      <x:c r="H16" s="4" t="inlineStr">
        <x:is>
          <x:t xml:space="preserve">Benefícios - ContaFácil</x:t>
        </x:is>
      </x:c>
      <x:c r="I16" s="4" t="inlineStr">
        <x:is>
          <x:t xml:space="preserve">ContaFácil</x:t>
        </x:is>
      </x:c>
      <x:c r="J16" s="4" t="inlineStr">
        <x:is>
          <x:t xml:space="preserve">Cartão</x:t>
        </x:is>
      </x:c>
      <x:c r="K16" s="4" t="inlineStr">
        <x:is>
          <x:t xml:space="preserve">Conta Investimento</x:t>
        </x:is>
      </x:c>
      <x:c r="L16" s="4" t="inlineStr">
        <x:is>
          <x:t xml:space="preserve">Pago</x:t>
        </x:is>
      </x:c>
      <x:c r="M16" s="13" t="n">
        <x:v>45706</x:v>
      </x:c>
      <x:c r="N16" s="13" t="n">
        <x:v>45706</x:v>
      </x:c>
      <x:c r="O16" s="14" t="n">
        <x:v>12555.85</x:v>
      </x:c>
      <x:c r="P16" s="14" t="n">
        <x:v>0</x:v>
      </x:c>
      <x:c r="Q16" s="14" t="n">
        <x:v>10</x:v>
      </x:c>
      <x:c r="R16" s="14">
        <x:f>IF(D16="Receita",O16-P16+Q16,-(O16-P16+Q16))</x:f>
        <x:v>-12565.85</x:v>
      </x:c>
      <x:c r="S16" s="4" t="inlineStr">
        <x:is>
          <x:t xml:space="preserve">Expansão</x:t>
        </x:is>
      </x:c>
      <x:c r="T16" s="4" t="inlineStr">
        <x:is>
          <x:t xml:space="preserve">Ajuste financeiro</x:t>
        </x:is>
      </x:c>
    </x:row>
    <x:row r="17">
      <x:c r="A17" s="4" t="n">
        <x:v>16</x:v>
      </x:c>
      <x:c r="B17" s="13" t="n">
        <x:v>45786</x:v>
      </x:c>
      <x:c r="C17" s="4" t="inlineStr">
        <x:is>
          <x:t xml:space="preserve">2025-05</x:t>
        </x:is>
      </x:c>
      <x:c r="D17" s="4" t="inlineStr">
        <x:is>
          <x:t xml:space="preserve">Despesa</x:t>
        </x:is>
      </x:c>
      <x:c r="E17" s="4" t="inlineStr">
        <x:is>
          <x:t xml:space="preserve">Marketing</x:t>
        </x:is>
      </x:c>
      <x:c r="F17" s="4" t="inlineStr">
        <x:is>
          <x:t xml:space="preserve">Design</x:t>
        </x:is>
      </x:c>
      <x:c r="G17" s="4" t="inlineStr">
        <x:is>
          <x:t xml:space="preserve">Operações</x:t>
        </x:is>
      </x:c>
      <x:c r="H17" s="4" t="inlineStr">
        <x:is>
          <x:t xml:space="preserve">Design - CloudFast</x:t>
        </x:is>
      </x:c>
      <x:c r="I17" s="4" t="inlineStr">
        <x:is>
          <x:t xml:space="preserve">CloudFast</x:t>
        </x:is>
      </x:c>
      <x:c r="J17" s="4" t="inlineStr">
        <x:is>
          <x:t xml:space="preserve">TED</x:t>
        </x:is>
      </x:c>
      <x:c r="K17" s="4" t="inlineStr">
        <x:is>
          <x:t xml:space="preserve">Caixa</x:t>
        </x:is>
      </x:c>
      <x:c r="L17" s="4" t="inlineStr">
        <x:is>
          <x:t xml:space="preserve">Pago</x:t>
        </x:is>
      </x:c>
      <x:c r="M17" s="13" t="n">
        <x:v>45793</x:v>
      </x:c>
      <x:c r="N17" s="13" t="n">
        <x:v>45793</x:v>
      </x:c>
      <x:c r="O17" s="14" t="n">
        <x:v>14744.53</x:v>
      </x:c>
      <x:c r="P17" s="14" t="n">
        <x:v>100</x:v>
      </x:c>
      <x:c r="Q17" s="14" t="n">
        <x:v>40</x:v>
      </x:c>
      <x:c r="R17" s="14">
        <x:f>IF(D17="Receita",O17-P17+Q17,-(O17-P17+Q17))</x:f>
        <x:v>-14684.53</x:v>
      </x:c>
      <x:c r="S17" s="4" t="inlineStr">
        <x:is>
          <x:t xml:space="preserve">Projeto Aurora</x:t>
        </x:is>
      </x:c>
      <x:c r="T17" s="4" t="inlineStr">
        <x:is>
          <x:t xml:space="preserve"/>
        </x:is>
      </x:c>
    </x:row>
    <x:row r="18">
      <x:c r="A18" s="4" t="n">
        <x:v>17</x:v>
      </x:c>
      <x:c r="B18" s="13" t="n">
        <x:v>45729</x:v>
      </x:c>
      <x:c r="C18" s="4" t="inlineStr">
        <x:is>
          <x:t xml:space="preserve">2025-03</x:t>
        </x:is>
      </x:c>
      <x:c r="D18" s="4" t="inlineStr">
        <x:is>
          <x:t xml:space="preserve">Despesa</x:t>
        </x:is>
      </x:c>
      <x:c r="E18" s="4" t="inlineStr">
        <x:is>
          <x:t xml:space="preserve">Marketing</x:t>
        </x:is>
      </x:c>
      <x:c r="F18" s="4" t="inlineStr">
        <x:is>
          <x:t xml:space="preserve">Design</x:t>
        </x:is>
      </x:c>
      <x:c r="G18" s="4" t="inlineStr">
        <x:is>
          <x:t xml:space="preserve">Backoffice</x:t>
        </x:is>
      </x:c>
      <x:c r="H18" s="4" t="inlineStr">
        <x:is>
          <x:t xml:space="preserve">Design - OfficePlus</x:t>
        </x:is>
      </x:c>
      <x:c r="I18" s="4" t="inlineStr">
        <x:is>
          <x:t xml:space="preserve">OfficePlus</x:t>
        </x:is>
      </x:c>
      <x:c r="J18" s="4" t="inlineStr">
        <x:is>
          <x:t xml:space="preserve">Boleto</x:t>
        </x:is>
      </x:c>
      <x:c r="K18" s="4" t="inlineStr">
        <x:is>
          <x:t xml:space="preserve">Banco Principal</x:t>
        </x:is>
      </x:c>
      <x:c r="L18" s="4" t="inlineStr">
        <x:is>
          <x:t xml:space="preserve">Pago</x:t>
        </x:is>
      </x:c>
      <x:c r="M18" s="13" t="n">
        <x:v>45740</x:v>
      </x:c>
      <x:c r="N18" s="13" t="n">
        <x:v>45740</x:v>
      </x:c>
      <x:c r="O18" s="14" t="n">
        <x:v>8094.32</x:v>
      </x:c>
      <x:c r="P18" s="14" t="n">
        <x:v>100</x:v>
      </x:c>
      <x:c r="Q18" s="14" t="n">
        <x:v>0</x:v>
      </x:c>
      <x:c r="R18" s="14">
        <x:f>IF(D18="Receita",O18-P18+Q18,-(O18-P18+Q18))</x:f>
        <x:v>-7994.32</x:v>
      </x:c>
      <x:c r="S18" s="4" t="inlineStr">
        <x:is>
          <x:t xml:space="preserve">Projeto Atlas</x:t>
        </x:is>
      </x:c>
      <x:c r="T18" s="4" t="inlineStr">
        <x:is>
          <x:t xml:space="preserve">Contrato recorrente</x:t>
        </x:is>
      </x:c>
    </x:row>
    <x:row r="19">
      <x:c r="A19" s="4" t="n">
        <x:v>18</x:v>
      </x:c>
      <x:c r="B19" s="13" t="n">
        <x:v>45708</x:v>
      </x:c>
      <x:c r="C19" s="4" t="inlineStr">
        <x:is>
          <x:t xml:space="preserve">2025-02</x:t>
        </x:is>
      </x:c>
      <x:c r="D19" s="4" t="inlineStr">
        <x:is>
          <x:t xml:space="preserve">Despesa</x:t>
        </x:is>
      </x:c>
      <x:c r="E19" s="4" t="inlineStr">
        <x:is>
          <x:t xml:space="preserve">Operacional</x:t>
        </x:is>
      </x:c>
      <x:c r="F19" s="4" t="inlineStr">
        <x:is>
          <x:t xml:space="preserve">Material de Escritório</x:t>
        </x:is>
      </x:c>
      <x:c r="G19" s="4" t="inlineStr">
        <x:is>
          <x:t xml:space="preserve">Comercial</x:t>
        </x:is>
      </x:c>
      <x:c r="H19" s="4" t="inlineStr">
        <x:is>
          <x:t xml:space="preserve">Material de Escritório - OfficePlus</x:t>
        </x:is>
      </x:c>
      <x:c r="I19" s="4" t="inlineStr">
        <x:is>
          <x:t xml:space="preserve">OfficePlus</x:t>
        </x:is>
      </x:c>
      <x:c r="J19" s="4" t="inlineStr">
        <x:is>
          <x:t xml:space="preserve">PIX</x:t>
        </x:is>
      </x:c>
      <x:c r="K19" s="4" t="inlineStr">
        <x:is>
          <x:t xml:space="preserve">Cartão Corporativo</x:t>
        </x:is>
      </x:c>
      <x:c r="L19" s="4" t="inlineStr">
        <x:is>
          <x:t xml:space="preserve">Pago</x:t>
        </x:is>
      </x:c>
      <x:c r="M19" s="13" t="n">
        <x:v>45728</x:v>
      </x:c>
      <x:c r="N19" s="13" t="n">
        <x:v>45728</x:v>
      </x:c>
      <x:c r="O19" s="14" t="n">
        <x:v>8672.16</x:v>
      </x:c>
      <x:c r="P19" s="14" t="n">
        <x:v>100</x:v>
      </x:c>
      <x:c r="Q19" s="14" t="n">
        <x:v>0</x:v>
      </x:c>
      <x:c r="R19" s="14">
        <x:f>IF(D19="Receita",O19-P19+Q19,-(O19-P19+Q19))</x:f>
        <x:v>-8572.16</x:v>
      </x:c>
      <x:c r="S19" s="4" t="inlineStr">
        <x:is>
          <x:t xml:space="preserve">Projeto Atlas</x:t>
        </x:is>
      </x:c>
      <x:c r="T19" s="4" t="inlineStr">
        <x:is>
          <x:t xml:space="preserve">Contrato recorrente</x:t>
        </x:is>
      </x:c>
    </x:row>
    <x:row r="20">
      <x:c r="A20" s="4" t="n">
        <x:v>19</x:v>
      </x:c>
      <x:c r="B20" s="13" t="n">
        <x:v>45703</x:v>
      </x:c>
      <x:c r="C20" s="4" t="inlineStr">
        <x:is>
          <x:t xml:space="preserve">2025-02</x:t>
        </x:is>
      </x:c>
      <x:c r="D20" s="4" t="inlineStr">
        <x:is>
          <x:t xml:space="preserve">Despesa</x:t>
        </x:is>
      </x:c>
      <x:c r="E20" s="4" t="inlineStr">
        <x:is>
          <x:t xml:space="preserve">Tecnologia</x:t>
        </x:is>
      </x:c>
      <x:c r="F20" s="4" t="inlineStr">
        <x:is>
          <x:t xml:space="preserve">Cloud</x:t>
        </x:is>
      </x:c>
      <x:c r="G20" s="4" t="inlineStr">
        <x:is>
          <x:t xml:space="preserve">TI</x:t>
        </x:is>
      </x:c>
      <x:c r="H20" s="4" t="inlineStr">
        <x:is>
          <x:t xml:space="preserve">Cloud - EnergiaSul</x:t>
        </x:is>
      </x:c>
      <x:c r="I20" s="4" t="inlineStr">
        <x:is>
          <x:t xml:space="preserve">EnergiaSul</x:t>
        </x:is>
      </x:c>
      <x:c r="J20" s="4" t="inlineStr">
        <x:is>
          <x:t xml:space="preserve">Boleto</x:t>
        </x:is>
      </x:c>
      <x:c r="K20" s="4" t="inlineStr">
        <x:is>
          <x:t xml:space="preserve">Banco Principal</x:t>
        </x:is>
      </x:c>
      <x:c r="L20" s="4" t="inlineStr">
        <x:is>
          <x:t xml:space="preserve">Pago</x:t>
        </x:is>
      </x:c>
      <x:c r="M20" s="13" t="n">
        <x:v>45708</x:v>
      </x:c>
      <x:c r="N20" s="13" t="n">
        <x:v>45708</x:v>
      </x:c>
      <x:c r="O20" s="14" t="n">
        <x:v>8379.84</x:v>
      </x:c>
      <x:c r="P20" s="14" t="n">
        <x:v>100</x:v>
      </x:c>
      <x:c r="Q20" s="14" t="n">
        <x:v>0</x:v>
      </x:c>
      <x:c r="R20" s="14">
        <x:f>IF(D20="Receita",O20-P20+Q20,-(O20-P20+Q20))</x:f>
        <x:v>-8279.84</x:v>
      </x:c>
      <x:c r="S20" s="4" t="inlineStr">
        <x:is>
          <x:t xml:space="preserve">Projeto Atlas</x:t>
        </x:is>
      </x:c>
      <x:c r="T20" s="4" t="inlineStr">
        <x:is>
          <x:t xml:space="preserve">Ajuste financeiro</x:t>
        </x:is>
      </x:c>
    </x:row>
    <x:row r="21">
      <x:c r="A21" s="4" t="n">
        <x:v>20</x:v>
      </x:c>
      <x:c r="B21" s="13" t="n">
        <x:v>45777</x:v>
      </x:c>
      <x:c r="C21" s="4" t="inlineStr">
        <x:is>
          <x:t xml:space="preserve">2025-04</x:t>
        </x:is>
      </x:c>
      <x:c r="D21" s="4" t="inlineStr">
        <x:is>
          <x:t xml:space="preserve">Despesa</x:t>
        </x:is>
      </x:c>
      <x:c r="E21" s="4" t="inlineStr">
        <x:is>
          <x:t xml:space="preserve">Marketing</x:t>
        </x:is>
      </x:c>
      <x:c r="F21" s="4" t="inlineStr">
        <x:is>
          <x:t xml:space="preserve">Design</x:t>
        </x:is>
      </x:c>
      <x:c r="G21" s="4" t="inlineStr">
        <x:is>
          <x:t xml:space="preserve">TI</x:t>
        </x:is>
      </x:c>
      <x:c r="H21" s="4" t="inlineStr">
        <x:is>
          <x:t xml:space="preserve">Design - OfficePlus</x:t>
        </x:is>
      </x:c>
      <x:c r="I21" s="4" t="inlineStr">
        <x:is>
          <x:t xml:space="preserve">OfficePlus</x:t>
        </x:is>
      </x:c>
      <x:c r="J21" s="4" t="inlineStr">
        <x:is>
          <x:t xml:space="preserve">PIX</x:t>
        </x:is>
      </x:c>
      <x:c r="K21" s="4" t="inlineStr">
        <x:is>
          <x:t xml:space="preserve">Conta Investimento</x:t>
        </x:is>
      </x:c>
      <x:c r="L21" s="4" t="inlineStr">
        <x:is>
          <x:t xml:space="preserve">Atrasado</x:t>
        </x:is>
      </x:c>
      <x:c r="M21" s="13" t="n">
        <x:v>45794</x:v>
      </x:c>
      <x:c r="N21" s="13" t="n">
        <x:v>45795</x:v>
      </x:c>
      <x:c r="O21" s="14" t="n">
        <x:v>11858.25</x:v>
      </x:c>
      <x:c r="P21" s="14" t="n">
        <x:v>0</x:v>
      </x:c>
      <x:c r="Q21" s="14" t="n">
        <x:v>0</x:v>
      </x:c>
      <x:c r="R21" s="14">
        <x:f>IF(D21="Receita",O21-P21+Q21,-(O21-P21+Q21))</x:f>
        <x:v>-11858.25</x:v>
      </x:c>
      <x:c r="S21" s="4" t="inlineStr">
        <x:is>
          <x:t xml:space="preserve">Rotina</x:t>
        </x:is>
      </x:c>
      <x:c r="T21" s="4" t="inlineStr">
        <x:is>
          <x:t xml:space="preserve">Renovação anual</x:t>
        </x:is>
      </x:c>
    </x:row>
    <x:row r="22">
      <x:c r="A22" s="4" t="n">
        <x:v>21</x:v>
      </x:c>
      <x:c r="B22" s="13" t="n">
        <x:v>45712</x:v>
      </x:c>
      <x:c r="C22" s="4" t="inlineStr">
        <x:is>
          <x:t xml:space="preserve">2025-02</x:t>
        </x:is>
      </x:c>
      <x:c r="D22" s="4" t="inlineStr">
        <x:is>
          <x:t xml:space="preserve">Receita</x:t>
        </x:is>
      </x:c>
      <x:c r="E22" s="4" t="inlineStr">
        <x:is>
          <x:t xml:space="preserve">Vendas</x:t>
        </x:is>
      </x:c>
      <x:c r="F22" s="4" t="inlineStr">
        <x:is>
          <x:t xml:space="preserve">Serviço de Implantação</x:t>
        </x:is>
      </x:c>
      <x:c r="G22" s="4" t="inlineStr">
        <x:is>
          <x:t xml:space="preserve">Comercial</x:t>
        </x:is>
      </x:c>
      <x:c r="H22" s="4" t="inlineStr">
        <x:is>
          <x:t xml:space="preserve">Serviço de Implantação - Cliente Ômega</x:t>
        </x:is>
      </x:c>
      <x:c r="I22" s="4" t="inlineStr">
        <x:is>
          <x:t xml:space="preserve">Cliente Ômega</x:t>
        </x:is>
      </x:c>
      <x:c r="J22" s="4" t="inlineStr">
        <x:is>
          <x:t xml:space="preserve">Boleto</x:t>
        </x:is>
      </x:c>
      <x:c r="K22" s="4" t="inlineStr">
        <x:is>
          <x:t xml:space="preserve">Banco Principal</x:t>
        </x:is>
      </x:c>
      <x:c r="L22" s="4" t="inlineStr">
        <x:is>
          <x:t xml:space="preserve">Pendente</x:t>
        </x:is>
      </x:c>
      <x:c r="M22" s="13" t="n">
        <x:v>45729</x:v>
      </x:c>
      <x:c r="N22" s="13" t="n"/>
      <x:c r="O22" s="14" t="n">
        <x:v>9558.07</x:v>
      </x:c>
      <x:c r="P22" s="14" t="n">
        <x:v>191.16</x:v>
      </x:c>
      <x:c r="Q22" s="14" t="n">
        <x:v>0</x:v>
      </x:c>
      <x:c r="R22" s="14">
        <x:f>IF(D22="Receita",O22-P22+Q22,-(O22-P22+Q22))</x:f>
        <x:v>9366.91</x:v>
      </x:c>
      <x:c r="S22" s="4" t="inlineStr">
        <x:is>
          <x:t xml:space="preserve">Projeto Sigma</x:t>
        </x:is>
      </x:c>
      <x:c r="T22" s="4" t="inlineStr">
        <x:is>
          <x:t xml:space="preserve">Contrato recorrente</x:t>
        </x:is>
      </x:c>
    </x:row>
    <x:row r="23">
      <x:c r="A23" s="4" t="n">
        <x:v>22</x:v>
      </x:c>
      <x:c r="B23" s="13" t="n">
        <x:v>45827</x:v>
      </x:c>
      <x:c r="C23" s="4" t="inlineStr">
        <x:is>
          <x:t xml:space="preserve">2025-06</x:t>
        </x:is>
      </x:c>
      <x:c r="D23" s="4" t="inlineStr">
        <x:is>
          <x:t xml:space="preserve">Despesa</x:t>
        </x:is>
      </x:c>
      <x:c r="E23" s="4" t="inlineStr">
        <x:is>
          <x:t xml:space="preserve">Administrativo</x:t>
        </x:is>
      </x:c>
      <x:c r="F23" s="4" t="inlineStr">
        <x:is>
          <x:t xml:space="preserve">Energia</x:t>
        </x:is>
      </x:c>
      <x:c r="G23" s="4" t="inlineStr">
        <x:is>
          <x:t xml:space="preserve">Operações</x:t>
        </x:is>
      </x:c>
      <x:c r="H23" s="4" t="inlineStr">
        <x:is>
          <x:t xml:space="preserve">Energia - OfficePlus</x:t>
        </x:is>
      </x:c>
      <x:c r="I23" s="4" t="inlineStr">
        <x:is>
          <x:t xml:space="preserve">OfficePlus</x:t>
        </x:is>
      </x:c>
      <x:c r="J23" s="4" t="inlineStr">
        <x:is>
          <x:t xml:space="preserve">Boleto</x:t>
        </x:is>
      </x:c>
      <x:c r="K23" s="4" t="inlineStr">
        <x:is>
          <x:t xml:space="preserve">Banco Principal</x:t>
        </x:is>
      </x:c>
      <x:c r="L23" s="4" t="inlineStr">
        <x:is>
          <x:t xml:space="preserve">Pendente</x:t>
        </x:is>
      </x:c>
      <x:c r="M23" s="13" t="n">
        <x:v>45827</x:v>
      </x:c>
      <x:c r="N23" s="13" t="n"/>
      <x:c r="O23" s="14" t="n">
        <x:v>9610.299999999999</x:v>
      </x:c>
      <x:c r="P23" s="14" t="n">
        <x:v>50</x:v>
      </x:c>
      <x:c r="Q23" s="14" t="n">
        <x:v>10</x:v>
      </x:c>
      <x:c r="R23" s="14">
        <x:f>IF(D23="Receita",O23-P23+Q23,-(O23-P23+Q23))</x:f>
        <x:v>-9570.3</x:v>
      </x:c>
      <x:c r="S23" s="4" t="inlineStr">
        <x:is>
          <x:t xml:space="preserve">Projeto Atlas</x:t>
        </x:is>
      </x:c>
      <x:c r="T23" s="4" t="inlineStr">
        <x:is>
          <x:t xml:space="preserve">Renovação anual</x:t>
        </x:is>
      </x:c>
    </x:row>
    <x:row r="24">
      <x:c r="A24" s="4" t="n">
        <x:v>23</x:v>
      </x:c>
      <x:c r="B24" s="13" t="n">
        <x:v>45694</x:v>
      </x:c>
      <x:c r="C24" s="4" t="inlineStr">
        <x:is>
          <x:t xml:space="preserve">2025-02</x:t>
        </x:is>
      </x:c>
      <x:c r="D24" s="4" t="inlineStr">
        <x:is>
          <x:t xml:space="preserve">Despesa</x:t>
        </x:is>
      </x:c>
      <x:c r="E24" s="4" t="inlineStr">
        <x:is>
          <x:t xml:space="preserve">Folha</x:t>
        </x:is>
      </x:c>
      <x:c r="F24" s="4" t="inlineStr">
        <x:is>
          <x:t xml:space="preserve">Benefícios</x:t>
        </x:is>
      </x:c>
      <x:c r="G24" s="4" t="inlineStr">
        <x:is>
          <x:t xml:space="preserve">Backoffice</x:t>
        </x:is>
      </x:c>
      <x:c r="H24" s="4" t="inlineStr">
        <x:is>
          <x:t xml:space="preserve">Benefícios - Fornecedor Nexus</x:t>
        </x:is>
      </x:c>
      <x:c r="I24" s="4" t="inlineStr">
        <x:is>
          <x:t xml:space="preserve">Fornecedor Nexus</x:t>
        </x:is>
      </x:c>
      <x:c r="J24" s="4" t="inlineStr">
        <x:is>
          <x:t xml:space="preserve">PIX</x:t>
        </x:is>
      </x:c>
      <x:c r="K24" s="4" t="inlineStr">
        <x:is>
          <x:t xml:space="preserve">Conta Investimento</x:t>
        </x:is>
      </x:c>
      <x:c r="L24" s="4" t="inlineStr">
        <x:is>
          <x:t xml:space="preserve">Pago</x:t>
        </x:is>
      </x:c>
      <x:c r="M24" s="13" t="n">
        <x:v>45709</x:v>
      </x:c>
      <x:c r="N24" s="13" t="n">
        <x:v>45709</x:v>
      </x:c>
      <x:c r="O24" s="14" t="n">
        <x:v>12307.38</x:v>
      </x:c>
      <x:c r="P24" s="14" t="n">
        <x:v>50</x:v>
      </x:c>
      <x:c r="Q24" s="14" t="n">
        <x:v>10</x:v>
      </x:c>
      <x:c r="R24" s="14">
        <x:f>IF(D24="Receita",O24-P24+Q24,-(O24-P24+Q24))</x:f>
        <x:v>-12267.38</x:v>
      </x:c>
      <x:c r="S24" s="4" t="inlineStr">
        <x:is>
          <x:t xml:space="preserve">Projeto Atlas</x:t>
        </x:is>
      </x:c>
      <x:c r="T24" s="4" t="inlineStr">
        <x:is>
          <x:t xml:space="preserve">Pagamento parcial</x:t>
        </x:is>
      </x:c>
    </x:row>
    <x:row r="25">
      <x:c r="A25" s="4" t="n">
        <x:v>24</x:v>
      </x:c>
      <x:c r="B25" s="13" t="n">
        <x:v>45668</x:v>
      </x:c>
      <x:c r="C25" s="4" t="inlineStr">
        <x:is>
          <x:t xml:space="preserve">2025-01</x:t>
        </x:is>
      </x:c>
      <x:c r="D25" s="4" t="inlineStr">
        <x:is>
          <x:t xml:space="preserve">Despesa</x:t>
        </x:is>
      </x:c>
      <x:c r="E25" s="4" t="inlineStr">
        <x:is>
          <x:t xml:space="preserve">Administrativo</x:t>
        </x:is>
      </x:c>
      <x:c r="F25" s="4" t="inlineStr">
        <x:is>
          <x:t xml:space="preserve">Energia</x:t>
        </x:is>
      </x:c>
      <x:c r="G25" s="4" t="inlineStr">
        <x:is>
          <x:t xml:space="preserve">Comercial</x:t>
        </x:is>
      </x:c>
      <x:c r="H25" s="4" t="inlineStr">
        <x:is>
          <x:t xml:space="preserve">Energia - OfficePlus</x:t>
        </x:is>
      </x:c>
      <x:c r="I25" s="4" t="inlineStr">
        <x:is>
          <x:t xml:space="preserve">OfficePlus</x:t>
        </x:is>
      </x:c>
      <x:c r="J25" s="4" t="inlineStr">
        <x:is>
          <x:t xml:space="preserve">Boleto</x:t>
        </x:is>
      </x:c>
      <x:c r="K25" s="4" t="inlineStr">
        <x:is>
          <x:t xml:space="preserve">Caixa</x:t>
        </x:is>
      </x:c>
      <x:c r="L25" s="4" t="inlineStr">
        <x:is>
          <x:t xml:space="preserve">Atrasado</x:t>
        </x:is>
      </x:c>
      <x:c r="M25" s="13" t="n">
        <x:v>45678</x:v>
      </x:c>
      <x:c r="N25" s="13" t="n"/>
      <x:c r="O25" s="14" t="n">
        <x:v>13699.08</x:v>
      </x:c>
      <x:c r="P25" s="14" t="n">
        <x:v>0</x:v>
      </x:c>
      <x:c r="Q25" s="14" t="n">
        <x:v>0</x:v>
      </x:c>
      <x:c r="R25" s="14">
        <x:f>IF(D25="Receita",O25-P25+Q25,-(O25-P25+Q25))</x:f>
        <x:v>-13699.08</x:v>
      </x:c>
      <x:c r="S25" s="4" t="inlineStr">
        <x:is>
          <x:t xml:space="preserve">Rotina</x:t>
        </x:is>
      </x:c>
      <x:c r="T25" s="4" t="inlineStr">
        <x:is>
          <x:t xml:space="preserve">Ajuste financeiro</x:t>
        </x:is>
      </x:c>
    </x:row>
    <x:row r="26">
      <x:c r="A26" s="4" t="n">
        <x:v>25</x:v>
      </x:c>
      <x:c r="B26" s="13" t="n">
        <x:v>45794</x:v>
      </x:c>
      <x:c r="C26" s="4" t="inlineStr">
        <x:is>
          <x:t xml:space="preserve">2025-05</x:t>
        </x:is>
      </x:c>
      <x:c r="D26" s="4" t="inlineStr">
        <x:is>
          <x:t xml:space="preserve">Despesa</x:t>
        </x:is>
      </x:c>
      <x:c r="E26" s="4" t="inlineStr">
        <x:is>
          <x:t xml:space="preserve">Administrativo</x:t>
        </x:is>
      </x:c>
      <x:c r="F26" s="4" t="inlineStr">
        <x:is>
          <x:t xml:space="preserve">Jurídico</x:t>
        </x:is>
      </x:c>
      <x:c r="G26" s="4" t="inlineStr">
        <x:is>
          <x:t xml:space="preserve">Diretoria</x:t>
        </x:is>
      </x:c>
      <x:c r="H26" s="4" t="inlineStr">
        <x:is>
          <x:t xml:space="preserve">Jurídico - EnergiaSul</x:t>
        </x:is>
      </x:c>
      <x:c r="I26" s="4" t="inlineStr">
        <x:is>
          <x:t xml:space="preserve">EnergiaSul</x:t>
        </x:is>
      </x:c>
      <x:c r="J26" s="4" t="inlineStr">
        <x:is>
          <x:t xml:space="preserve">Boleto</x:t>
        </x:is>
      </x:c>
      <x:c r="K26" s="4" t="inlineStr">
        <x:is>
          <x:t xml:space="preserve">Cartão Corporativo</x:t>
        </x:is>
      </x:c>
      <x:c r="L26" s="4" t="inlineStr">
        <x:is>
          <x:t xml:space="preserve">Pendente</x:t>
        </x:is>
      </x:c>
      <x:c r="M26" s="13" t="n">
        <x:v>45800</x:v>
      </x:c>
      <x:c r="N26" s="13" t="n"/>
      <x:c r="O26" s="14" t="n">
        <x:v>15787.52</x:v>
      </x:c>
      <x:c r="P26" s="14" t="n">
        <x:v>0</x:v>
      </x:c>
      <x:c r="Q26" s="14" t="n">
        <x:v>10</x:v>
      </x:c>
      <x:c r="R26" s="14">
        <x:f>IF(D26="Receita",O26-P26+Q26,-(O26-P26+Q26))</x:f>
        <x:v>-15797.52</x:v>
      </x:c>
      <x:c r="S26" s="4" t="inlineStr">
        <x:is>
          <x:t xml:space="preserve">Projeto Aurora</x:t>
        </x:is>
      </x:c>
      <x:c r="T26" s="4" t="inlineStr">
        <x:is>
          <x:t xml:space="preserve">Contrato recorrente</x:t>
        </x:is>
      </x:c>
    </x:row>
    <x:row r="27">
      <x:c r="A27" s="4" t="n">
        <x:v>26</x:v>
      </x:c>
      <x:c r="B27" s="13" t="n">
        <x:v>45771</x:v>
      </x:c>
      <x:c r="C27" s="4" t="inlineStr">
        <x:is>
          <x:t xml:space="preserve">2025-04</x:t>
        </x:is>
      </x:c>
      <x:c r="D27" s="4" t="inlineStr">
        <x:is>
          <x:t xml:space="preserve">Receita</x:t>
        </x:is>
      </x:c>
      <x:c r="E27" s="4" t="inlineStr">
        <x:is>
          <x:t xml:space="preserve">Outras Receitas</x:t>
        </x:is>
      </x:c>
      <x:c r="F27" s="4" t="inlineStr">
        <x:is>
          <x:t xml:space="preserve">Reembolso</x:t>
        </x:is>
      </x:c>
      <x:c r="G27" s="4" t="inlineStr">
        <x:is>
          <x:t xml:space="preserve">Comercial</x:t>
        </x:is>
      </x:c>
      <x:c r="H27" s="4" t="inlineStr">
        <x:is>
          <x:t xml:space="preserve">Reembolso - Cliente Delta</x:t>
        </x:is>
      </x:c>
      <x:c r="I27" s="4" t="inlineStr">
        <x:is>
          <x:t xml:space="preserve">Cliente Delta</x:t>
        </x:is>
      </x:c>
      <x:c r="J27" s="4" t="inlineStr">
        <x:is>
          <x:t xml:space="preserve">Boleto</x:t>
        </x:is>
      </x:c>
      <x:c r="K27" s="4" t="inlineStr">
        <x:is>
          <x:t xml:space="preserve">Caixa</x:t>
        </x:is>
      </x:c>
      <x:c r="L27" s="4" t="inlineStr">
        <x:is>
          <x:t xml:space="preserve">Pago</x:t>
        </x:is>
      </x:c>
      <x:c r="M27" s="13" t="n">
        <x:v>45775</x:v>
      </x:c>
      <x:c r="N27" s="13" t="n">
        <x:v>45775</x:v>
      </x:c>
      <x:c r="O27" s="14" t="n">
        <x:v>3949.55</x:v>
      </x:c>
      <x:c r="P27" s="14" t="n">
        <x:v>78.98999999999999</x:v>
      </x:c>
      <x:c r="Q27" s="14" t="n">
        <x:v>0</x:v>
      </x:c>
      <x:c r="R27" s="14">
        <x:f>IF(D27="Receita",O27-P27+Q27,-(O27-P27+Q27))</x:f>
        <x:v>3870.5600000000004</x:v>
      </x:c>
      <x:c r="S27" s="4" t="inlineStr">
        <x:is>
          <x:t xml:space="preserve">Projeto Atlas</x:t>
        </x:is>
      </x:c>
      <x:c r="T27" s="4" t="inlineStr">
        <x:is>
          <x:t xml:space="preserve">Contrato recorrente</x:t>
        </x:is>
      </x:c>
    </x:row>
    <x:row r="28">
      <x:c r="A28" s="4" t="n">
        <x:v>27</x:v>
      </x:c>
      <x:c r="B28" s="13" t="n">
        <x:v>45714</x:v>
      </x:c>
      <x:c r="C28" s="4" t="inlineStr">
        <x:is>
          <x:t xml:space="preserve">2025-02</x:t>
        </x:is>
      </x:c>
      <x:c r="D28" s="4" t="inlineStr">
        <x:is>
          <x:t xml:space="preserve">Despesa</x:t>
        </x:is>
      </x:c>
      <x:c r="E28" s="4" t="inlineStr">
        <x:is>
          <x:t xml:space="preserve">Folha</x:t>
        </x:is>
      </x:c>
      <x:c r="F28" s="4" t="inlineStr">
        <x:is>
          <x:t xml:space="preserve">Encargos</x:t>
        </x:is>
      </x:c>
      <x:c r="G28" s="4" t="inlineStr">
        <x:is>
          <x:t xml:space="preserve">Operações</x:t>
        </x:is>
      </x:c>
      <x:c r="H28" s="4" t="inlineStr">
        <x:is>
          <x:t xml:space="preserve">Encargos - MídiaPro</x:t>
        </x:is>
      </x:c>
      <x:c r="I28" s="4" t="inlineStr">
        <x:is>
          <x:t xml:space="preserve">MídiaPro</x:t>
        </x:is>
      </x:c>
      <x:c r="J28" s="4" t="inlineStr">
        <x:is>
          <x:t xml:space="preserve">Boleto</x:t>
        </x:is>
      </x:c>
      <x:c r="K28" s="4" t="inlineStr">
        <x:is>
          <x:t xml:space="preserve">Caixa</x:t>
        </x:is>
      </x:c>
      <x:c r="L28" s="4" t="inlineStr">
        <x:is>
          <x:t xml:space="preserve">Atrasado</x:t>
        </x:is>
      </x:c>
      <x:c r="M28" s="13" t="n">
        <x:v>45727</x:v>
      </x:c>
      <x:c r="N28" s="13" t="n">
        <x:v>45741</x:v>
      </x:c>
      <x:c r="O28" s="14" t="n">
        <x:v>17818.5</x:v>
      </x:c>
      <x:c r="P28" s="14" t="n">
        <x:v>0</x:v>
      </x:c>
      <x:c r="Q28" s="14" t="n">
        <x:v>0</x:v>
      </x:c>
      <x:c r="R28" s="14">
        <x:f>IF(D28="Receita",O28-P28+Q28,-(O28-P28+Q28))</x:f>
        <x:v>-17818.5</x:v>
      </x:c>
      <x:c r="S28" s="4" t="inlineStr">
        <x:is>
          <x:t xml:space="preserve">Projeto Sigma</x:t>
        </x:is>
      </x:c>
      <x:c r="T28" s="4" t="inlineStr">
        <x:is>
          <x:t xml:space="preserve"/>
        </x:is>
      </x:c>
    </x:row>
    <x:row r="29">
      <x:c r="A29" s="4" t="n">
        <x:v>28</x:v>
      </x:c>
      <x:c r="B29" s="13" t="n">
        <x:v>45751</x:v>
      </x:c>
      <x:c r="C29" s="4" t="inlineStr">
        <x:is>
          <x:t xml:space="preserve">2025-04</x:t>
        </x:is>
      </x:c>
      <x:c r="D29" s="4" t="inlineStr">
        <x:is>
          <x:t xml:space="preserve">Receita</x:t>
        </x:is>
      </x:c>
      <x:c r="E29" s="4" t="inlineStr">
        <x:is>
          <x:t xml:space="preserve">Outras Receitas</x:t>
        </x:is>
      </x:c>
      <x:c r="F29" s="4" t="inlineStr">
        <x:is>
          <x:t xml:space="preserve">Venda de Ativo</x:t>
        </x:is>
      </x:c>
      <x:c r="G29" s="4" t="inlineStr">
        <x:is>
          <x:t xml:space="preserve">Comercial</x:t>
        </x:is>
      </x:c>
      <x:c r="H29" s="4" t="inlineStr">
        <x:is>
          <x:t xml:space="preserve">Venda de Ativo - Cliente Delta</x:t>
        </x:is>
      </x:c>
      <x:c r="I29" s="4" t="inlineStr">
        <x:is>
          <x:t xml:space="preserve">Cliente Delta</x:t>
        </x:is>
      </x:c>
      <x:c r="J29" s="4" t="inlineStr">
        <x:is>
          <x:t xml:space="preserve">PIX</x:t>
        </x:is>
      </x:c>
      <x:c r="K29" s="4" t="inlineStr">
        <x:is>
          <x:t xml:space="preserve">Conta Investimento</x:t>
        </x:is>
      </x:c>
      <x:c r="L29" s="4" t="inlineStr">
        <x:is>
          <x:t xml:space="preserve">Atrasado</x:t>
        </x:is>
      </x:c>
      <x:c r="M29" s="13" t="n">
        <x:v>45767</x:v>
      </x:c>
      <x:c r="N29" s="13" t="n">
        <x:v>45770</x:v>
      </x:c>
      <x:c r="O29" s="14" t="n">
        <x:v>25055.57</x:v>
      </x:c>
      <x:c r="P29" s="14" t="n">
        <x:v>1252.78</x:v>
      </x:c>
      <x:c r="Q29" s="14" t="n">
        <x:v>0</x:v>
      </x:c>
      <x:c r="R29" s="14">
        <x:f>IF(D29="Receita",O29-P29+Q29,-(O29-P29+Q29))</x:f>
        <x:v>23802.79</x:v>
      </x:c>
      <x:c r="S29" s="4" t="inlineStr">
        <x:is>
          <x:t xml:space="preserve">Projeto Aurora</x:t>
        </x:is>
      </x:c>
      <x:c r="T29" s="4" t="inlineStr">
        <x:is>
          <x:t xml:space="preserve"/>
        </x:is>
      </x:c>
    </x:row>
    <x:row r="30">
      <x:c r="A30" s="4" t="n">
        <x:v>29</x:v>
      </x:c>
      <x:c r="B30" s="13" t="n">
        <x:v>45725</x:v>
      </x:c>
      <x:c r="C30" s="4" t="inlineStr">
        <x:is>
          <x:t xml:space="preserve">2025-03</x:t>
        </x:is>
      </x:c>
      <x:c r="D30" s="4" t="inlineStr">
        <x:is>
          <x:t xml:space="preserve">Receita</x:t>
        </x:is>
      </x:c>
      <x:c r="E30" s="4" t="inlineStr">
        <x:is>
          <x:t xml:space="preserve">Vendas</x:t>
        </x:is>
      </x:c>
      <x:c r="F30" s="4" t="inlineStr">
        <x:is>
          <x:t xml:space="preserve">Serviço de Implantação</x:t>
        </x:is>
      </x:c>
      <x:c r="G30" s="4" t="inlineStr">
        <x:is>
          <x:t xml:space="preserve">Comercial</x:t>
        </x:is>
      </x:c>
      <x:c r="H30" s="4" t="inlineStr">
        <x:is>
          <x:t xml:space="preserve">Serviço de Implantação - Cliente Beta</x:t>
        </x:is>
      </x:c>
      <x:c r="I30" s="4" t="inlineStr">
        <x:is>
          <x:t xml:space="preserve">Cliente Beta</x:t>
        </x:is>
      </x:c>
      <x:c r="J30" s="4" t="inlineStr">
        <x:is>
          <x:t xml:space="preserve">TED</x:t>
        </x:is>
      </x:c>
      <x:c r="K30" s="4" t="inlineStr">
        <x:is>
          <x:t xml:space="preserve">Caixa</x:t>
        </x:is>
      </x:c>
      <x:c r="L30" s="4" t="inlineStr">
        <x:is>
          <x:t xml:space="preserve">Atrasado</x:t>
        </x:is>
      </x:c>
      <x:c r="M30" s="13" t="n">
        <x:v>45729</x:v>
      </x:c>
      <x:c r="N30" s="13" t="n"/>
      <x:c r="O30" s="14" t="n">
        <x:v>28962.54</x:v>
      </x:c>
      <x:c r="P30" s="14" t="n">
        <x:v>579.25</x:v>
      </x:c>
      <x:c r="Q30" s="14" t="n">
        <x:v>15</x:v>
      </x:c>
      <x:c r="R30" s="14">
        <x:f>IF(D30="Receita",O30-P30+Q30,-(O30-P30+Q30))</x:f>
        <x:v>28398.29</x:v>
      </x:c>
      <x:c r="S30" s="4" t="inlineStr">
        <x:is>
          <x:t xml:space="preserve">Projeto Aurora</x:t>
        </x:is>
      </x:c>
      <x:c r="T30" s="4" t="inlineStr">
        <x:is>
          <x:t xml:space="preserve">Pagamento parcial</x:t>
        </x:is>
      </x:c>
    </x:row>
    <x:row r="31">
      <x:c r="A31" s="4" t="n">
        <x:v>30</x:v>
      </x:c>
      <x:c r="B31" s="13" t="n">
        <x:v>45672</x:v>
      </x:c>
      <x:c r="C31" s="4" t="inlineStr">
        <x:is>
          <x:t xml:space="preserve">2025-01</x:t>
        </x:is>
      </x:c>
      <x:c r="D31" s="4" t="inlineStr">
        <x:is>
          <x:t xml:space="preserve">Despesa</x:t>
        </x:is>
      </x:c>
      <x:c r="E31" s="4" t="inlineStr">
        <x:is>
          <x:t xml:space="preserve">Marketing</x:t>
        </x:is>
      </x:c>
      <x:c r="F31" s="4" t="inlineStr">
        <x:is>
          <x:t xml:space="preserve">Eventos</x:t>
        </x:is>
      </x:c>
      <x:c r="G31" s="4" t="inlineStr">
        <x:is>
          <x:t xml:space="preserve">Backoffice</x:t>
        </x:is>
      </x:c>
      <x:c r="H31" s="4" t="inlineStr">
        <x:is>
          <x:t xml:space="preserve">Eventos - Fornecedor Nexus</x:t>
        </x:is>
      </x:c>
      <x:c r="I31" s="4" t="inlineStr">
        <x:is>
          <x:t xml:space="preserve">Fornecedor Nexus</x:t>
        </x:is>
      </x:c>
      <x:c r="J31" s="4" t="inlineStr">
        <x:is>
          <x:t xml:space="preserve">Boleto</x:t>
        </x:is>
      </x:c>
      <x:c r="K31" s="4" t="inlineStr">
        <x:is>
          <x:t xml:space="preserve">Banco Principal</x:t>
        </x:is>
      </x:c>
      <x:c r="L31" s="4" t="inlineStr">
        <x:is>
          <x:t xml:space="preserve">Pago</x:t>
        </x:is>
      </x:c>
      <x:c r="M31" s="13" t="n">
        <x:v>45680</x:v>
      </x:c>
      <x:c r="N31" s="13" t="n">
        <x:v>45680</x:v>
      </x:c>
      <x:c r="O31" s="14" t="n">
        <x:v>16895.23</x:v>
      </x:c>
      <x:c r="P31" s="14" t="n">
        <x:v>100</x:v>
      </x:c>
      <x:c r="Q31" s="14" t="n">
        <x:v>0</x:v>
      </x:c>
      <x:c r="R31" s="14">
        <x:f>IF(D31="Receita",O31-P31+Q31,-(O31-P31+Q31))</x:f>
        <x:v>-16795.23</x:v>
      </x:c>
      <x:c r="S31" s="4" t="inlineStr">
        <x:is>
          <x:t xml:space="preserve">Projeto Sigma</x:t>
        </x:is>
      </x:c>
      <x:c r="T31" s="4" t="inlineStr">
        <x:is>
          <x:t xml:space="preserve"/>
        </x:is>
      </x:c>
    </x:row>
    <x:row r="32">
      <x:c r="A32" s="4" t="n">
        <x:v>31</x:v>
      </x:c>
      <x:c r="B32" s="13" t="n">
        <x:v>45774</x:v>
      </x:c>
      <x:c r="C32" s="4" t="inlineStr">
        <x:is>
          <x:t xml:space="preserve">2025-04</x:t>
        </x:is>
      </x:c>
      <x:c r="D32" s="4" t="inlineStr">
        <x:is>
          <x:t xml:space="preserve">Receita</x:t>
        </x:is>
      </x:c>
      <x:c r="E32" s="4" t="inlineStr">
        <x:is>
          <x:t xml:space="preserve">Outras Receitas</x:t>
        </x:is>
      </x:c>
      <x:c r="F32" s="4" t="inlineStr">
        <x:is>
          <x:t xml:space="preserve">Venda de Ativo</x:t>
        </x:is>
      </x:c>
      <x:c r="G32" s="4" t="inlineStr">
        <x:is>
          <x:t xml:space="preserve">Comercial</x:t>
        </x:is>
      </x:c>
      <x:c r="H32" s="4" t="inlineStr">
        <x:is>
          <x:t xml:space="preserve">Venda de Ativo - Cliente Gama</x:t>
        </x:is>
      </x:c>
      <x:c r="I32" s="4" t="inlineStr">
        <x:is>
          <x:t xml:space="preserve">Cliente Gama</x:t>
        </x:is>
      </x:c>
      <x:c r="J32" s="4" t="inlineStr">
        <x:is>
          <x:t xml:space="preserve">Boleto</x:t>
        </x:is>
      </x:c>
      <x:c r="K32" s="4" t="inlineStr">
        <x:is>
          <x:t xml:space="preserve">Caixa</x:t>
        </x:is>
      </x:c>
      <x:c r="L32" s="4" t="inlineStr">
        <x:is>
          <x:t xml:space="preserve">Pago</x:t>
        </x:is>
      </x:c>
      <x:c r="M32" s="13" t="n">
        <x:v>45781</x:v>
      </x:c>
      <x:c r="N32" s="13" t="n">
        <x:v>45781</x:v>
      </x:c>
      <x:c r="O32" s="14" t="n">
        <x:v>22327.07</x:v>
      </x:c>
      <x:c r="P32" s="14" t="n">
        <x:v>0</x:v>
      </x:c>
      <x:c r="Q32" s="14" t="n">
        <x:v>30</x:v>
      </x:c>
      <x:c r="R32" s="14">
        <x:f>IF(D32="Receita",O32-P32+Q32,-(O32-P32+Q32))</x:f>
        <x:v>22357.07</x:v>
      </x:c>
      <x:c r="S32" s="4" t="inlineStr">
        <x:is>
          <x:t xml:space="preserve">Projeto Aurora</x:t>
        </x:is>
      </x:c>
      <x:c r="T32" s="4" t="inlineStr">
        <x:is>
          <x:t xml:space="preserve">Renovação anual</x:t>
        </x:is>
      </x:c>
    </x:row>
    <x:row r="33">
      <x:c r="A33" s="4" t="n">
        <x:v>32</x:v>
      </x:c>
      <x:c r="B33" s="13" t="n">
        <x:v>45709</x:v>
      </x:c>
      <x:c r="C33" s="4" t="inlineStr">
        <x:is>
          <x:t xml:space="preserve">2025-02</x:t>
        </x:is>
      </x:c>
      <x:c r="D33" s="4" t="inlineStr">
        <x:is>
          <x:t xml:space="preserve">Despesa</x:t>
        </x:is>
      </x:c>
      <x:c r="E33" s="4" t="inlineStr">
        <x:is>
          <x:t xml:space="preserve">Tecnologia</x:t>
        </x:is>
      </x:c>
      <x:c r="F33" s="4" t="inlineStr">
        <x:is>
          <x:t xml:space="preserve">Equipamentos</x:t>
        </x:is>
      </x:c>
      <x:c r="G33" s="4" t="inlineStr">
        <x:is>
          <x:t xml:space="preserve">Backoffice</x:t>
        </x:is>
      </x:c>
      <x:c r="H33" s="4" t="inlineStr">
        <x:is>
          <x:t xml:space="preserve">Equipamentos - CloudFast</x:t>
        </x:is>
      </x:c>
      <x:c r="I33" s="4" t="inlineStr">
        <x:is>
          <x:t xml:space="preserve">CloudFast</x:t>
        </x:is>
      </x:c>
      <x:c r="J33" s="4" t="inlineStr">
        <x:is>
          <x:t xml:space="preserve">PIX</x:t>
        </x:is>
      </x:c>
      <x:c r="K33" s="4" t="inlineStr">
        <x:is>
          <x:t xml:space="preserve">Caixa</x:t>
        </x:is>
      </x:c>
      <x:c r="L33" s="4" t="inlineStr">
        <x:is>
          <x:t xml:space="preserve">Pago</x:t>
        </x:is>
      </x:c>
      <x:c r="M33" s="13" t="n">
        <x:v>45717</x:v>
      </x:c>
      <x:c r="N33" s="13" t="n">
        <x:v>45717</x:v>
      </x:c>
      <x:c r="O33" s="14" t="n">
        <x:v>8066.71</x:v>
      </x:c>
      <x:c r="P33" s="14" t="n">
        <x:v>100</x:v>
      </x:c>
      <x:c r="Q33" s="14" t="n">
        <x:v>0</x:v>
      </x:c>
      <x:c r="R33" s="14">
        <x:f>IF(D33="Receita",O33-P33+Q33,-(O33-P33+Q33))</x:f>
        <x:v>-7966.71</x:v>
      </x:c>
      <x:c r="S33" s="4" t="inlineStr">
        <x:is>
          <x:t xml:space="preserve">Projeto Aurora</x:t>
        </x:is>
      </x:c>
      <x:c r="T33" s="4" t="inlineStr">
        <x:is>
          <x:t xml:space="preserve"/>
        </x:is>
      </x:c>
    </x:row>
    <x:row r="34">
      <x:c r="A34" s="4" t="n">
        <x:v>33</x:v>
      </x:c>
      <x:c r="B34" s="13" t="n">
        <x:v>45662</x:v>
      </x:c>
      <x:c r="C34" s="4" t="inlineStr">
        <x:is>
          <x:t xml:space="preserve">2025-01</x:t>
        </x:is>
      </x:c>
      <x:c r="D34" s="4" t="inlineStr">
        <x:is>
          <x:t xml:space="preserve">Despesa</x:t>
        </x:is>
      </x:c>
      <x:c r="E34" s="4" t="inlineStr">
        <x:is>
          <x:t xml:space="preserve">Administrativo</x:t>
        </x:is>
      </x:c>
      <x:c r="F34" s="4" t="inlineStr">
        <x:is>
          <x:t xml:space="preserve">Jurídico</x:t>
        </x:is>
      </x:c>
      <x:c r="G34" s="4" t="inlineStr">
        <x:is>
          <x:t xml:space="preserve">TI</x:t>
        </x:is>
      </x:c>
      <x:c r="H34" s="4" t="inlineStr">
        <x:is>
          <x:t xml:space="preserve">Jurídico - OfficePlus</x:t>
        </x:is>
      </x:c>
      <x:c r="I34" s="4" t="inlineStr">
        <x:is>
          <x:t xml:space="preserve">OfficePlus</x:t>
        </x:is>
      </x:c>
      <x:c r="J34" s="4" t="inlineStr">
        <x:is>
          <x:t xml:space="preserve">TED</x:t>
        </x:is>
      </x:c>
      <x:c r="K34" s="4" t="inlineStr">
        <x:is>
          <x:t xml:space="preserve">Cartão Corporativo</x:t>
        </x:is>
      </x:c>
      <x:c r="L34" s="4" t="inlineStr">
        <x:is>
          <x:t xml:space="preserve">Pendente</x:t>
        </x:is>
      </x:c>
      <x:c r="M34" s="13" t="n">
        <x:v>45682</x:v>
      </x:c>
      <x:c r="N34" s="13" t="n"/>
      <x:c r="O34" s="14" t="n">
        <x:v>4482.58</x:v>
      </x:c>
      <x:c r="P34" s="14" t="n">
        <x:v>20</x:v>
      </x:c>
      <x:c r="Q34" s="14" t="n">
        <x:v>0</x:v>
      </x:c>
      <x:c r="R34" s="14">
        <x:f>IF(D34="Receita",O34-P34+Q34,-(O34-P34+Q34))</x:f>
        <x:v>-4462.58</x:v>
      </x:c>
      <x:c r="S34" s="4" t="inlineStr">
        <x:is>
          <x:t xml:space="preserve">Expansão</x:t>
        </x:is>
      </x:c>
      <x:c r="T34" s="4" t="inlineStr">
        <x:is>
          <x:t xml:space="preserve">Pagamento parcial</x:t>
        </x:is>
      </x:c>
    </x:row>
    <x:row r="35">
      <x:c r="A35" s="4" t="n">
        <x:v>34</x:v>
      </x:c>
      <x:c r="B35" s="13" t="n">
        <x:v>45834</x:v>
      </x:c>
      <x:c r="C35" s="4" t="inlineStr">
        <x:is>
          <x:t xml:space="preserve">2025-06</x:t>
        </x:is>
      </x:c>
      <x:c r="D35" s="4" t="inlineStr">
        <x:is>
          <x:t xml:space="preserve">Receita</x:t>
        </x:is>
      </x:c>
      <x:c r="E35" s="4" t="inlineStr">
        <x:is>
          <x:t xml:space="preserve">Vendas</x:t>
        </x:is>
      </x:c>
      <x:c r="F35" s="4" t="inlineStr">
        <x:is>
          <x:t xml:space="preserve">Serviço de Implantação</x:t>
        </x:is>
      </x:c>
      <x:c r="G35" s="4" t="inlineStr">
        <x:is>
          <x:t xml:space="preserve">Comercial</x:t>
        </x:is>
      </x:c>
      <x:c r="H35" s="4" t="inlineStr">
        <x:is>
          <x:t xml:space="preserve">Serviço de Implantação - Cliente Beta</x:t>
        </x:is>
      </x:c>
      <x:c r="I35" s="4" t="inlineStr">
        <x:is>
          <x:t xml:space="preserve">Cliente Beta</x:t>
        </x:is>
      </x:c>
      <x:c r="J35" s="4" t="inlineStr">
        <x:is>
          <x:t xml:space="preserve">Boleto</x:t>
        </x:is>
      </x:c>
      <x:c r="K35" s="4" t="inlineStr">
        <x:is>
          <x:t xml:space="preserve">Banco Principal</x:t>
        </x:is>
      </x:c>
      <x:c r="L35" s="4" t="inlineStr">
        <x:is>
          <x:t xml:space="preserve">Pago</x:t>
        </x:is>
      </x:c>
      <x:c r="M35" s="13" t="n">
        <x:v>45845</x:v>
      </x:c>
      <x:c r="N35" s="13" t="n">
        <x:v>45845</x:v>
      </x:c>
      <x:c r="O35" s="14" t="n">
        <x:v>29381.6</x:v>
      </x:c>
      <x:c r="P35" s="14" t="n">
        <x:v>0</x:v>
      </x:c>
      <x:c r="Q35" s="14" t="n">
        <x:v>15</x:v>
      </x:c>
      <x:c r="R35" s="14">
        <x:f>IF(D35="Receita",O35-P35+Q35,-(O35-P35+Q35))</x:f>
        <x:v>29396.6</x:v>
      </x:c>
      <x:c r="S35" s="4" t="inlineStr">
        <x:is>
          <x:t xml:space="preserve">Projeto Aurora</x:t>
        </x:is>
      </x:c>
      <x:c r="T35" s="4" t="inlineStr">
        <x:is>
          <x:t xml:space="preserve">Sem observações</x:t>
        </x:is>
      </x:c>
    </x:row>
    <x:row r="36">
      <x:c r="A36" s="4" t="n">
        <x:v>35</x:v>
      </x:c>
      <x:c r="B36" s="13" t="n">
        <x:v>45723</x:v>
      </x:c>
      <x:c r="C36" s="4" t="inlineStr">
        <x:is>
          <x:t xml:space="preserve">2025-03</x:t>
        </x:is>
      </x:c>
      <x:c r="D36" s="4" t="inlineStr">
        <x:is>
          <x:t xml:space="preserve">Despesa</x:t>
        </x:is>
      </x:c>
      <x:c r="E36" s="4" t="inlineStr">
        <x:is>
          <x:t xml:space="preserve">Folha</x:t>
        </x:is>
      </x:c>
      <x:c r="F36" s="4" t="inlineStr">
        <x:is>
          <x:t xml:space="preserve">Salários</x:t>
        </x:is>
      </x:c>
      <x:c r="G36" s="4" t="inlineStr">
        <x:is>
          <x:t xml:space="preserve">TI</x:t>
        </x:is>
      </x:c>
      <x:c r="H36" s="4" t="inlineStr">
        <x:is>
          <x:t xml:space="preserve">Salários - EnergiaSul</x:t>
        </x:is>
      </x:c>
      <x:c r="I36" s="4" t="inlineStr">
        <x:is>
          <x:t xml:space="preserve">EnergiaSul</x:t>
        </x:is>
      </x:c>
      <x:c r="J36" s="4" t="inlineStr">
        <x:is>
          <x:t xml:space="preserve">Cartão</x:t>
        </x:is>
      </x:c>
      <x:c r="K36" s="4" t="inlineStr">
        <x:is>
          <x:t xml:space="preserve">Banco Principal</x:t>
        </x:is>
      </x:c>
      <x:c r="L36" s="4" t="inlineStr">
        <x:is>
          <x:t xml:space="preserve">Pago</x:t>
        </x:is>
      </x:c>
      <x:c r="M36" s="13" t="n">
        <x:v>45742</x:v>
      </x:c>
      <x:c r="N36" s="13" t="n">
        <x:v>45742</x:v>
      </x:c>
      <x:c r="O36" s="14" t="n">
        <x:v>15680.04</x:v>
      </x:c>
      <x:c r="P36" s="14" t="n">
        <x:v>100</x:v>
      </x:c>
      <x:c r="Q36" s="14" t="n">
        <x:v>0</x:v>
      </x:c>
      <x:c r="R36" s="14">
        <x:f>IF(D36="Receita",O36-P36+Q36,-(O36-P36+Q36))</x:f>
        <x:v>-15580.04</x:v>
      </x:c>
      <x:c r="S36" s="4" t="inlineStr">
        <x:is>
          <x:t xml:space="preserve">Rotina</x:t>
        </x:is>
      </x:c>
      <x:c r="T36" s="4" t="inlineStr">
        <x:is>
          <x:t xml:space="preserve">Renovação anual</x:t>
        </x:is>
      </x:c>
    </x:row>
    <x:row r="37">
      <x:c r="A37" s="4" t="n">
        <x:v>36</x:v>
      </x:c>
      <x:c r="B37" s="13" t="n">
        <x:v>45698</x:v>
      </x:c>
      <x:c r="C37" s="4" t="inlineStr">
        <x:is>
          <x:t xml:space="preserve">2025-02</x:t>
        </x:is>
      </x:c>
      <x:c r="D37" s="4" t="inlineStr">
        <x:is>
          <x:t xml:space="preserve">Receita</x:t>
        </x:is>
      </x:c>
      <x:c r="E37" s="4" t="inlineStr">
        <x:is>
          <x:t xml:space="preserve">Vendas</x:t>
        </x:is>
      </x:c>
      <x:c r="F37" s="4" t="inlineStr">
        <x:is>
          <x:t xml:space="preserve">Serviço de Implantação</x:t>
        </x:is>
      </x:c>
      <x:c r="G37" s="4" t="inlineStr">
        <x:is>
          <x:t xml:space="preserve">Comercial</x:t>
        </x:is>
      </x:c>
      <x:c r="H37" s="4" t="inlineStr">
        <x:is>
          <x:t xml:space="preserve">Serviço de Implantação - Cliente Gama</x:t>
        </x:is>
      </x:c>
      <x:c r="I37" s="4" t="inlineStr">
        <x:is>
          <x:t xml:space="preserve">Cliente Gama</x:t>
        </x:is>
      </x:c>
      <x:c r="J37" s="4" t="inlineStr">
        <x:is>
          <x:t xml:space="preserve">Boleto</x:t>
        </x:is>
      </x:c>
      <x:c r="K37" s="4" t="inlineStr">
        <x:is>
          <x:t xml:space="preserve">Caixa</x:t>
        </x:is>
      </x:c>
      <x:c r="L37" s="4" t="inlineStr">
        <x:is>
          <x:t xml:space="preserve">Pago</x:t>
        </x:is>
      </x:c>
      <x:c r="M37" s="13" t="n">
        <x:v>45699</x:v>
      </x:c>
      <x:c r="N37" s="13" t="n">
        <x:v>45699</x:v>
      </x:c>
      <x:c r="O37" s="14" t="n">
        <x:v>33719.85</x:v>
      </x:c>
      <x:c r="P37" s="14" t="n">
        <x:v>674.4</x:v>
      </x:c>
      <x:c r="Q37" s="14" t="n">
        <x:v>0</x:v>
      </x:c>
      <x:c r="R37" s="14">
        <x:f>IF(D37="Receita",O37-P37+Q37,-(O37-P37+Q37))</x:f>
        <x:v>33045.45</x:v>
      </x:c>
      <x:c r="S37" s="4" t="inlineStr">
        <x:is>
          <x:t xml:space="preserve">Projeto Atlas</x:t>
        </x:is>
      </x:c>
      <x:c r="T37" s="4" t="inlineStr">
        <x:is>
          <x:t xml:space="preserve"/>
        </x:is>
      </x:c>
    </x:row>
    <x:row r="38">
      <x:c r="A38" s="4" t="n">
        <x:v>37</x:v>
      </x:c>
      <x:c r="B38" s="13" t="n">
        <x:v>45743</x:v>
      </x:c>
      <x:c r="C38" s="4" t="inlineStr">
        <x:is>
          <x:t xml:space="preserve">2025-03</x:t>
        </x:is>
      </x:c>
      <x:c r="D38" s="4" t="inlineStr">
        <x:is>
          <x:t xml:space="preserve">Despesa</x:t>
        </x:is>
      </x:c>
      <x:c r="E38" s="4" t="inlineStr">
        <x:is>
          <x:t xml:space="preserve">Operacional</x:t>
        </x:is>
      </x:c>
      <x:c r="F38" s="4" t="inlineStr">
        <x:is>
          <x:t xml:space="preserve">Manutenção</x:t>
        </x:is>
      </x:c>
      <x:c r="G38" s="4" t="inlineStr">
        <x:is>
          <x:t xml:space="preserve">Operações</x:t>
        </x:is>
      </x:c>
      <x:c r="H38" s="4" t="inlineStr">
        <x:is>
          <x:t xml:space="preserve">Manutenção - OfficePlus</x:t>
        </x:is>
      </x:c>
      <x:c r="I38" s="4" t="inlineStr">
        <x:is>
          <x:t xml:space="preserve">OfficePlus</x:t>
        </x:is>
      </x:c>
      <x:c r="J38" s="4" t="inlineStr">
        <x:is>
          <x:t xml:space="preserve">Boleto</x:t>
        </x:is>
      </x:c>
      <x:c r="K38" s="4" t="inlineStr">
        <x:is>
          <x:t xml:space="preserve">Cartão Corporativo</x:t>
        </x:is>
      </x:c>
      <x:c r="L38" s="4" t="inlineStr">
        <x:is>
          <x:t xml:space="preserve">Pago</x:t>
        </x:is>
      </x:c>
      <x:c r="M38" s="13" t="n">
        <x:v>45751</x:v>
      </x:c>
      <x:c r="N38" s="13" t="n">
        <x:v>45751</x:v>
      </x:c>
      <x:c r="O38" s="14" t="n">
        <x:v>4527.37</x:v>
      </x:c>
      <x:c r="P38" s="14" t="n">
        <x:v>0</x:v>
      </x:c>
      <x:c r="Q38" s="14" t="n">
        <x:v>0</x:v>
      </x:c>
      <x:c r="R38" s="14">
        <x:f>IF(D38="Receita",O38-P38+Q38,-(O38-P38+Q38))</x:f>
        <x:v>-4527.37</x:v>
      </x:c>
      <x:c r="S38" s="4" t="inlineStr">
        <x:is>
          <x:t xml:space="preserve">Expansão</x:t>
        </x:is>
      </x:c>
      <x:c r="T38" s="4" t="inlineStr">
        <x:is>
          <x:t xml:space="preserve"/>
        </x:is>
      </x:c>
    </x:row>
    <x:row r="39">
      <x:c r="A39" s="4" t="n">
        <x:v>38</x:v>
      </x:c>
      <x:c r="B39" s="13" t="n">
        <x:v>45758</x:v>
      </x:c>
      <x:c r="C39" s="4" t="inlineStr">
        <x:is>
          <x:t xml:space="preserve">2025-04</x:t>
        </x:is>
      </x:c>
      <x:c r="D39" s="4" t="inlineStr">
        <x:is>
          <x:t xml:space="preserve">Receita</x:t>
        </x:is>
      </x:c>
      <x:c r="E39" s="4" t="inlineStr">
        <x:is>
          <x:t xml:space="preserve">Receita Financeira</x:t>
        </x:is>
      </x:c>
      <x:c r="F39" s="4" t="inlineStr">
        <x:is>
          <x:t xml:space="preserve">Rendimento Conta</x:t>
        </x:is>
      </x:c>
      <x:c r="G39" s="4" t="inlineStr">
        <x:is>
          <x:t xml:space="preserve">Comercial</x:t>
        </x:is>
      </x:c>
      <x:c r="H39" s="4" t="inlineStr">
        <x:is>
          <x:t xml:space="preserve">Rendimento Conta - Cliente Alfa</x:t>
        </x:is>
      </x:c>
      <x:c r="I39" s="4" t="inlineStr">
        <x:is>
          <x:t xml:space="preserve">Cliente Alfa</x:t>
        </x:is>
      </x:c>
      <x:c r="J39" s="4" t="inlineStr">
        <x:is>
          <x:t xml:space="preserve">Cartão</x:t>
        </x:is>
      </x:c>
      <x:c r="K39" s="4" t="inlineStr">
        <x:is>
          <x:t xml:space="preserve">Cartão Corporativo</x:t>
        </x:is>
      </x:c>
      <x:c r="L39" s="4" t="inlineStr">
        <x:is>
          <x:t xml:space="preserve">Pendente</x:t>
        </x:is>
      </x:c>
      <x:c r="M39" s="13" t="n">
        <x:v>45777</x:v>
      </x:c>
      <x:c r="N39" s="13" t="n"/>
      <x:c r="O39" s="14" t="n">
        <x:v>21117.04</x:v>
      </x:c>
      <x:c r="P39" s="14" t="n">
        <x:v>0</x:v>
      </x:c>
      <x:c r="Q39" s="14" t="n">
        <x:v>45</x:v>
      </x:c>
      <x:c r="R39" s="14">
        <x:f>IF(D39="Receita",O39-P39+Q39,-(O39-P39+Q39))</x:f>
        <x:v>21162.04</x:v>
      </x:c>
      <x:c r="S39" s="4" t="inlineStr">
        <x:is>
          <x:t xml:space="preserve">Projeto Atlas</x:t>
        </x:is>
      </x:c>
      <x:c r="T39" s="4" t="inlineStr">
        <x:is>
          <x:t xml:space="preserve">Pagamento parcial</x:t>
        </x:is>
      </x:c>
    </x:row>
    <x:row r="40">
      <x:c r="A40" s="4" t="n">
        <x:v>39</x:v>
      </x:c>
      <x:c r="B40" s="13" t="n">
        <x:v>45816</x:v>
      </x:c>
      <x:c r="C40" s="4" t="inlineStr">
        <x:is>
          <x:t xml:space="preserve">2025-06</x:t>
        </x:is>
      </x:c>
      <x:c r="D40" s="4" t="inlineStr">
        <x:is>
          <x:t xml:space="preserve">Despesa</x:t>
        </x:is>
      </x:c>
      <x:c r="E40" s="4" t="inlineStr">
        <x:is>
          <x:t xml:space="preserve">Folha</x:t>
        </x:is>
      </x:c>
      <x:c r="F40" s="4" t="inlineStr">
        <x:is>
          <x:t xml:space="preserve">Benefícios</x:t>
        </x:is>
      </x:c>
      <x:c r="G40" s="4" t="inlineStr">
        <x:is>
          <x:t xml:space="preserve">TI</x:t>
        </x:is>
      </x:c>
      <x:c r="H40" s="4" t="inlineStr">
        <x:is>
          <x:t xml:space="preserve">Benefícios - OfficePlus</x:t>
        </x:is>
      </x:c>
      <x:c r="I40" s="4" t="inlineStr">
        <x:is>
          <x:t xml:space="preserve">OfficePlus</x:t>
        </x:is>
      </x:c>
      <x:c r="J40" s="4" t="inlineStr">
        <x:is>
          <x:t xml:space="preserve">PIX</x:t>
        </x:is>
      </x:c>
      <x:c r="K40" s="4" t="inlineStr">
        <x:is>
          <x:t xml:space="preserve">Conta Investimento</x:t>
        </x:is>
      </x:c>
      <x:c r="L40" s="4" t="inlineStr">
        <x:is>
          <x:t xml:space="preserve">Atrasado</x:t>
        </x:is>
      </x:c>
      <x:c r="M40" s="13" t="n">
        <x:v>45832</x:v>
      </x:c>
      <x:c r="N40" s="13" t="n"/>
      <x:c r="O40" s="14" t="n">
        <x:v>13230.63</x:v>
      </x:c>
      <x:c r="P40" s="14" t="n">
        <x:v>50</x:v>
      </x:c>
      <x:c r="Q40" s="14" t="n">
        <x:v>0</x:v>
      </x:c>
      <x:c r="R40" s="14">
        <x:f>IF(D40="Receita",O40-P40+Q40,-(O40-P40+Q40))</x:f>
        <x:v>-13180.63</x:v>
      </x:c>
      <x:c r="S40" s="4" t="inlineStr">
        <x:is>
          <x:t xml:space="preserve">Projeto Aurora</x:t>
        </x:is>
      </x:c>
      <x:c r="T40" s="4" t="inlineStr">
        <x:is>
          <x:t xml:space="preserve"/>
        </x:is>
      </x:c>
    </x:row>
    <x:row r="41">
      <x:c r="A41" s="4" t="n">
        <x:v>40</x:v>
      </x:c>
      <x:c r="B41" s="13" t="n">
        <x:v>45668</x:v>
      </x:c>
      <x:c r="C41" s="4" t="inlineStr">
        <x:is>
          <x:t xml:space="preserve">2025-01</x:t>
        </x:is>
      </x:c>
      <x:c r="D41" s="4" t="inlineStr">
        <x:is>
          <x:t xml:space="preserve">Receita</x:t>
        </x:is>
      </x:c>
      <x:c r="E41" s="4" t="inlineStr">
        <x:is>
          <x:t xml:space="preserve">Receita Financeira</x:t>
        </x:is>
      </x:c>
      <x:c r="F41" s="4" t="inlineStr">
        <x:is>
          <x:t xml:space="preserve">Rendimento Conta</x:t>
        </x:is>
      </x:c>
      <x:c r="G41" s="4" t="inlineStr">
        <x:is>
          <x:t xml:space="preserve">Comercial</x:t>
        </x:is>
      </x:c>
      <x:c r="H41" s="4" t="inlineStr">
        <x:is>
          <x:t xml:space="preserve">Rendimento Conta - Cliente Delta</x:t>
        </x:is>
      </x:c>
      <x:c r="I41" s="4" t="inlineStr">
        <x:is>
          <x:t xml:space="preserve">Cliente Delta</x:t>
        </x:is>
      </x:c>
      <x:c r="J41" s="4" t="inlineStr">
        <x:is>
          <x:t xml:space="preserve">TED</x:t>
        </x:is>
      </x:c>
      <x:c r="K41" s="4" t="inlineStr">
        <x:is>
          <x:t xml:space="preserve">Caixa</x:t>
        </x:is>
      </x:c>
      <x:c r="L41" s="4" t="inlineStr">
        <x:is>
          <x:t xml:space="preserve">Atrasado</x:t>
        </x:is>
      </x:c>
      <x:c r="M41" s="13" t="n">
        <x:v>45668</x:v>
      </x:c>
      <x:c r="N41" s="13" t="n"/>
      <x:c r="O41" s="14" t="n">
        <x:v>29500.01</x:v>
      </x:c>
      <x:c r="P41" s="14" t="n">
        <x:v>0</x:v>
      </x:c>
      <x:c r="Q41" s="14" t="n">
        <x:v>45</x:v>
      </x:c>
      <x:c r="R41" s="14">
        <x:f>IF(D41="Receita",O41-P41+Q41,-(O41-P41+Q41))</x:f>
        <x:v>29545.01</x:v>
      </x:c>
      <x:c r="S41" s="4" t="inlineStr">
        <x:is>
          <x:t xml:space="preserve">Projeto Aurora</x:t>
        </x:is>
      </x:c>
      <x:c r="T41" s="4" t="inlineStr">
        <x:is>
          <x:t xml:space="preserve">Contrato recorrente</x:t>
        </x:is>
      </x:c>
    </x:row>
    <x:row r="42">
      <x:c r="A42" s="4" t="n">
        <x:v>41</x:v>
      </x:c>
      <x:c r="B42" s="13" t="n">
        <x:v>45675</x:v>
      </x:c>
      <x:c r="C42" s="4" t="inlineStr">
        <x:is>
          <x:t xml:space="preserve">2025-01</x:t>
        </x:is>
      </x:c>
      <x:c r="D42" s="4" t="inlineStr">
        <x:is>
          <x:t xml:space="preserve">Despesa</x:t>
        </x:is>
      </x:c>
      <x:c r="E42" s="4" t="inlineStr">
        <x:is>
          <x:t xml:space="preserve">Administrativo</x:t>
        </x:is>
      </x:c>
      <x:c r="F42" s="4" t="inlineStr">
        <x:is>
          <x:t xml:space="preserve">Contabilidade</x:t>
        </x:is>
      </x:c>
      <x:c r="G42" s="4" t="inlineStr">
        <x:is>
          <x:t xml:space="preserve">Diretoria</x:t>
        </x:is>
      </x:c>
      <x:c r="H42" s="4" t="inlineStr">
        <x:is>
          <x:t xml:space="preserve">Contabilidade - EnergiaSul</x:t>
        </x:is>
      </x:c>
      <x:c r="I42" s="4" t="inlineStr">
        <x:is>
          <x:t xml:space="preserve">EnergiaSul</x:t>
        </x:is>
      </x:c>
      <x:c r="J42" s="4" t="inlineStr">
        <x:is>
          <x:t xml:space="preserve">Cartão</x:t>
        </x:is>
      </x:c>
      <x:c r="K42" s="4" t="inlineStr">
        <x:is>
          <x:t xml:space="preserve">Conta Investimento</x:t>
        </x:is>
      </x:c>
      <x:c r="L42" s="4" t="inlineStr">
        <x:is>
          <x:t xml:space="preserve">Pago</x:t>
        </x:is>
      </x:c>
      <x:c r="M42" s="13" t="n">
        <x:v>45683</x:v>
      </x:c>
      <x:c r="N42" s="13" t="n">
        <x:v>45683</x:v>
      </x:c>
      <x:c r="O42" s="14" t="n">
        <x:v>1263.62</x:v>
      </x:c>
      <x:c r="P42" s="14" t="n">
        <x:v>100</x:v>
      </x:c>
      <x:c r="Q42" s="14" t="n">
        <x:v>0</x:v>
      </x:c>
      <x:c r="R42" s="14">
        <x:f>IF(D42="Receita",O42-P42+Q42,-(O42-P42+Q42))</x:f>
        <x:v>-1163.62</x:v>
      </x:c>
      <x:c r="S42" s="4" t="inlineStr">
        <x:is>
          <x:t xml:space="preserve">Projeto Atlas</x:t>
        </x:is>
      </x:c>
      <x:c r="T42" s="4" t="inlineStr">
        <x:is>
          <x:t xml:space="preserve">Renovação anual</x:t>
        </x:is>
      </x:c>
    </x:row>
    <x:row r="43">
      <x:c r="A43" s="4" t="n">
        <x:v>42</x:v>
      </x:c>
      <x:c r="B43" s="13" t="n">
        <x:v>45824</x:v>
      </x:c>
      <x:c r="C43" s="4" t="inlineStr">
        <x:is>
          <x:t xml:space="preserve">2025-06</x:t>
        </x:is>
      </x:c>
      <x:c r="D43" s="4" t="inlineStr">
        <x:is>
          <x:t xml:space="preserve">Despesa</x:t>
        </x:is>
      </x:c>
      <x:c r="E43" s="4" t="inlineStr">
        <x:is>
          <x:t xml:space="preserve">Operacional</x:t>
        </x:is>
      </x:c>
      <x:c r="F43" s="4" t="inlineStr">
        <x:is>
          <x:t xml:space="preserve">Manutenção</x:t>
        </x:is>
      </x:c>
      <x:c r="G43" s="4" t="inlineStr">
        <x:is>
          <x:t xml:space="preserve">TI</x:t>
        </x:is>
      </x:c>
      <x:c r="H43" s="4" t="inlineStr">
        <x:is>
          <x:t xml:space="preserve">Manutenção - Fornecedor Nexus</x:t>
        </x:is>
      </x:c>
      <x:c r="I43" s="4" t="inlineStr">
        <x:is>
          <x:t xml:space="preserve">Fornecedor Nexus</x:t>
        </x:is>
      </x:c>
      <x:c r="J43" s="4" t="inlineStr">
        <x:is>
          <x:t xml:space="preserve">Boleto</x:t>
        </x:is>
      </x:c>
      <x:c r="K43" s="4" t="inlineStr">
        <x:is>
          <x:t xml:space="preserve">Banco Principal</x:t>
        </x:is>
      </x:c>
      <x:c r="L43" s="4" t="inlineStr">
        <x:is>
          <x:t xml:space="preserve">Atrasado</x:t>
        </x:is>
      </x:c>
      <x:c r="M43" s="13" t="n">
        <x:v>45825</x:v>
      </x:c>
      <x:c r="N43" s="13" t="n"/>
      <x:c r="O43" s="14" t="n">
        <x:v>16395.56</x:v>
      </x:c>
      <x:c r="P43" s="14" t="n">
        <x:v>0</x:v>
      </x:c>
      <x:c r="Q43" s="14" t="n">
        <x:v>40</x:v>
      </x:c>
      <x:c r="R43" s="14">
        <x:f>IF(D43="Receita",O43-P43+Q43,-(O43-P43+Q43))</x:f>
        <x:v>-16435.56</x:v>
      </x:c>
      <x:c r="S43" s="4" t="inlineStr">
        <x:is>
          <x:t xml:space="preserve">Expansão</x:t>
        </x:is>
      </x:c>
      <x:c r="T43" s="4" t="inlineStr">
        <x:is>
          <x:t xml:space="preserve">Renovação anual</x:t>
        </x:is>
      </x:c>
    </x:row>
    <x:row r="44">
      <x:c r="A44" s="4" t="n">
        <x:v>43</x:v>
      </x:c>
      <x:c r="B44" s="13" t="n">
        <x:v>45742</x:v>
      </x:c>
      <x:c r="C44" s="4" t="inlineStr">
        <x:is>
          <x:t xml:space="preserve">2025-03</x:t>
        </x:is>
      </x:c>
      <x:c r="D44" s="4" t="inlineStr">
        <x:is>
          <x:t xml:space="preserve">Receita</x:t>
        </x:is>
      </x:c>
      <x:c r="E44" s="4" t="inlineStr">
        <x:is>
          <x:t xml:space="preserve">Outras Receitas</x:t>
        </x:is>
      </x:c>
      <x:c r="F44" s="4" t="inlineStr">
        <x:is>
          <x:t xml:space="preserve">Venda de Ativo</x:t>
        </x:is>
      </x:c>
      <x:c r="G44" s="4" t="inlineStr">
        <x:is>
          <x:t xml:space="preserve">Comercial</x:t>
        </x:is>
      </x:c>
      <x:c r="H44" s="4" t="inlineStr">
        <x:is>
          <x:t xml:space="preserve">Venda de Ativo - Cliente Ômega</x:t>
        </x:is>
      </x:c>
      <x:c r="I44" s="4" t="inlineStr">
        <x:is>
          <x:t xml:space="preserve">Cliente Ômega</x:t>
        </x:is>
      </x:c>
      <x:c r="J44" s="4" t="inlineStr">
        <x:is>
          <x:t xml:space="preserve">Cartão</x:t>
        </x:is>
      </x:c>
      <x:c r="K44" s="4" t="inlineStr">
        <x:is>
          <x:t xml:space="preserve">Banco Principal</x:t>
        </x:is>
      </x:c>
      <x:c r="L44" s="4" t="inlineStr">
        <x:is>
          <x:t xml:space="preserve">Pendente</x:t>
        </x:is>
      </x:c>
      <x:c r="M44" s="13" t="n">
        <x:v>45743</x:v>
      </x:c>
      <x:c r="N44" s="13" t="n"/>
      <x:c r="O44" s="14" t="n">
        <x:v>20520.02</x:v>
      </x:c>
      <x:c r="P44" s="14" t="n">
        <x:v>0</x:v>
      </x:c>
      <x:c r="Q44" s="14" t="n">
        <x:v>15</x:v>
      </x:c>
      <x:c r="R44" s="14">
        <x:f>IF(D44="Receita",O44-P44+Q44,-(O44-P44+Q44))</x:f>
        <x:v>20535.02</x:v>
      </x:c>
      <x:c r="S44" s="4" t="inlineStr">
        <x:is>
          <x:t xml:space="preserve">Projeto Atlas</x:t>
        </x:is>
      </x:c>
      <x:c r="T44" s="4" t="inlineStr">
        <x:is>
          <x:t xml:space="preserve">Sem observações</x:t>
        </x:is>
      </x:c>
    </x:row>
    <x:row r="45">
      <x:c r="A45" s="4" t="n">
        <x:v>44</x:v>
      </x:c>
      <x:c r="B45" s="13" t="n">
        <x:v>45783</x:v>
      </x:c>
      <x:c r="C45" s="4" t="inlineStr">
        <x:is>
          <x:t xml:space="preserve">2025-05</x:t>
        </x:is>
      </x:c>
      <x:c r="D45" s="4" t="inlineStr">
        <x:is>
          <x:t xml:space="preserve">Receita</x:t>
        </x:is>
      </x:c>
      <x:c r="E45" s="4" t="inlineStr">
        <x:is>
          <x:t xml:space="preserve">Outras Receitas</x:t>
        </x:is>
      </x:c>
      <x:c r="F45" s="4" t="inlineStr">
        <x:is>
          <x:t xml:space="preserve">Venda de Ativo</x:t>
        </x:is>
      </x:c>
      <x:c r="G45" s="4" t="inlineStr">
        <x:is>
          <x:t xml:space="preserve">Comercial</x:t>
        </x:is>
      </x:c>
      <x:c r="H45" s="4" t="inlineStr">
        <x:is>
          <x:t xml:space="preserve">Venda de Ativo - Cliente Delta</x:t>
        </x:is>
      </x:c>
      <x:c r="I45" s="4" t="inlineStr">
        <x:is>
          <x:t xml:space="preserve">Cliente Delta</x:t>
        </x:is>
      </x:c>
      <x:c r="J45" s="4" t="inlineStr">
        <x:is>
          <x:t xml:space="preserve">PIX</x:t>
        </x:is>
      </x:c>
      <x:c r="K45" s="4" t="inlineStr">
        <x:is>
          <x:t xml:space="preserve">Cartão Corporativo</x:t>
        </x:is>
      </x:c>
      <x:c r="L45" s="4" t="inlineStr">
        <x:is>
          <x:t xml:space="preserve">Pago</x:t>
        </x:is>
      </x:c>
      <x:c r="M45" s="13" t="n">
        <x:v>45789</x:v>
      </x:c>
      <x:c r="N45" s="13" t="n">
        <x:v>45789</x:v>
      </x:c>
      <x:c r="O45" s="14" t="n">
        <x:v>17107.57</x:v>
      </x:c>
      <x:c r="P45" s="14" t="n">
        <x:v>0</x:v>
      </x:c>
      <x:c r="Q45" s="14" t="n">
        <x:v>30</x:v>
      </x:c>
      <x:c r="R45" s="14">
        <x:f>IF(D45="Receita",O45-P45+Q45,-(O45-P45+Q45))</x:f>
        <x:v>17137.57</x:v>
      </x:c>
      <x:c r="S45" s="4" t="inlineStr">
        <x:is>
          <x:t xml:space="preserve">Projeto Aurora</x:t>
        </x:is>
      </x:c>
      <x:c r="T45" s="4" t="inlineStr">
        <x:is>
          <x:t xml:space="preserve">Pagamento parcial</x:t>
        </x:is>
      </x:c>
    </x:row>
    <x:row r="46">
      <x:c r="A46" s="4" t="n">
        <x:v>45</x:v>
      </x:c>
      <x:c r="B46" s="13" t="n">
        <x:v>45775</x:v>
      </x:c>
      <x:c r="C46" s="4" t="inlineStr">
        <x:is>
          <x:t xml:space="preserve">2025-04</x:t>
        </x:is>
      </x:c>
      <x:c r="D46" s="4" t="inlineStr">
        <x:is>
          <x:t xml:space="preserve">Receita</x:t>
        </x:is>
      </x:c>
      <x:c r="E46" s="4" t="inlineStr">
        <x:is>
          <x:t xml:space="preserve">Outras Receitas</x:t>
        </x:is>
      </x:c>
      <x:c r="F46" s="4" t="inlineStr">
        <x:is>
          <x:t xml:space="preserve">Venda de Ativo</x:t>
        </x:is>
      </x:c>
      <x:c r="G46" s="4" t="inlineStr">
        <x:is>
          <x:t xml:space="preserve">Comercial</x:t>
        </x:is>
      </x:c>
      <x:c r="H46" s="4" t="inlineStr">
        <x:is>
          <x:t xml:space="preserve">Venda de Ativo - Cliente Gama</x:t>
        </x:is>
      </x:c>
      <x:c r="I46" s="4" t="inlineStr">
        <x:is>
          <x:t xml:space="preserve">Cliente Gama</x:t>
        </x:is>
      </x:c>
      <x:c r="J46" s="4" t="inlineStr">
        <x:is>
          <x:t xml:space="preserve">Boleto</x:t>
        </x:is>
      </x:c>
      <x:c r="K46" s="4" t="inlineStr">
        <x:is>
          <x:t xml:space="preserve">Caixa</x:t>
        </x:is>
      </x:c>
      <x:c r="L46" s="4" t="inlineStr">
        <x:is>
          <x:t xml:space="preserve">Pago</x:t>
        </x:is>
      </x:c>
      <x:c r="M46" s="13" t="n">
        <x:v>45793</x:v>
      </x:c>
      <x:c r="N46" s="13" t="n">
        <x:v>45793</x:v>
      </x:c>
      <x:c r="O46" s="14" t="n">
        <x:v>14459.42</x:v>
      </x:c>
      <x:c r="P46" s="14" t="n">
        <x:v>0</x:v>
      </x:c>
      <x:c r="Q46" s="14" t="n">
        <x:v>0</x:v>
      </x:c>
      <x:c r="R46" s="14">
        <x:f>IF(D46="Receita",O46-P46+Q46,-(O46-P46+Q46))</x:f>
        <x:v>14459.42</x:v>
      </x:c>
      <x:c r="S46" s="4" t="inlineStr">
        <x:is>
          <x:t xml:space="preserve">Projeto Sigma</x:t>
        </x:is>
      </x:c>
      <x:c r="T46" s="4" t="inlineStr">
        <x:is>
          <x:t xml:space="preserve">Renovação anual</x:t>
        </x:is>
      </x:c>
    </x:row>
    <x:row r="47">
      <x:c r="A47" s="4" t="n">
        <x:v>46</x:v>
      </x:c>
      <x:c r="B47" s="13" t="n">
        <x:v>45812</x:v>
      </x:c>
      <x:c r="C47" s="4" t="inlineStr">
        <x:is>
          <x:t xml:space="preserve">2025-06</x:t>
        </x:is>
      </x:c>
      <x:c r="D47" s="4" t="inlineStr">
        <x:is>
          <x:t xml:space="preserve">Despesa</x:t>
        </x:is>
      </x:c>
      <x:c r="E47" s="4" t="inlineStr">
        <x:is>
          <x:t xml:space="preserve">Administrativo</x:t>
        </x:is>
      </x:c>
      <x:c r="F47" s="4" t="inlineStr">
        <x:is>
          <x:t xml:space="preserve">Aluguel</x:t>
        </x:is>
      </x:c>
      <x:c r="G47" s="4" t="inlineStr">
        <x:is>
          <x:t xml:space="preserve">Backoffice</x:t>
        </x:is>
      </x:c>
      <x:c r="H47" s="4" t="inlineStr">
        <x:is>
          <x:t xml:space="preserve">Aluguel - Fornecedor Nexus</x:t>
        </x:is>
      </x:c>
      <x:c r="I47" s="4" t="inlineStr">
        <x:is>
          <x:t xml:space="preserve">Fornecedor Nexus</x:t>
        </x:is>
      </x:c>
      <x:c r="J47" s="4" t="inlineStr">
        <x:is>
          <x:t xml:space="preserve">PIX</x:t>
        </x:is>
      </x:c>
      <x:c r="K47" s="4" t="inlineStr">
        <x:is>
          <x:t xml:space="preserve">Cartão Corporativo</x:t>
        </x:is>
      </x:c>
      <x:c r="L47" s="4" t="inlineStr">
        <x:is>
          <x:t xml:space="preserve">Pago</x:t>
        </x:is>
      </x:c>
      <x:c r="M47" s="13" t="n">
        <x:v>45812</x:v>
      </x:c>
      <x:c r="N47" s="13" t="n">
        <x:v>45812</x:v>
      </x:c>
      <x:c r="O47" s="14" t="n">
        <x:v>4226.39</x:v>
      </x:c>
      <x:c r="P47" s="14" t="n">
        <x:v>20</x:v>
      </x:c>
      <x:c r="Q47" s="14" t="n">
        <x:v>0</x:v>
      </x:c>
      <x:c r="R47" s="14">
        <x:f>IF(D47="Receita",O47-P47+Q47,-(O47-P47+Q47))</x:f>
        <x:v>-4206.39</x:v>
      </x:c>
      <x:c r="S47" s="4" t="inlineStr">
        <x:is>
          <x:t xml:space="preserve">Rotina</x:t>
        </x:is>
      </x:c>
      <x:c r="T47" s="4" t="inlineStr">
        <x:is>
          <x:t xml:space="preserve">Contrato recorrente</x:t>
        </x:is>
      </x:c>
    </x:row>
    <x:row r="48">
      <x:c r="A48" s="4" t="n">
        <x:v>47</x:v>
      </x:c>
      <x:c r="B48" s="13" t="n">
        <x:v>45735</x:v>
      </x:c>
      <x:c r="C48" s="4" t="inlineStr">
        <x:is>
          <x:t xml:space="preserve">2025-03</x:t>
        </x:is>
      </x:c>
      <x:c r="D48" s="4" t="inlineStr">
        <x:is>
          <x:t xml:space="preserve">Despesa</x:t>
        </x:is>
      </x:c>
      <x:c r="E48" s="4" t="inlineStr">
        <x:is>
          <x:t xml:space="preserve">Operacional</x:t>
        </x:is>
      </x:c>
      <x:c r="F48" s="4" t="inlineStr">
        <x:is>
          <x:t xml:space="preserve">Manutenção</x:t>
        </x:is>
      </x:c>
      <x:c r="G48" s="4" t="inlineStr">
        <x:is>
          <x:t xml:space="preserve">Backoffice</x:t>
        </x:is>
      </x:c>
      <x:c r="H48" s="4" t="inlineStr">
        <x:is>
          <x:t xml:space="preserve">Manutenção - MídiaPro</x:t>
        </x:is>
      </x:c>
      <x:c r="I48" s="4" t="inlineStr">
        <x:is>
          <x:t xml:space="preserve">MídiaPro</x:t>
        </x:is>
      </x:c>
      <x:c r="J48" s="4" t="inlineStr">
        <x:is>
          <x:t xml:space="preserve">TED</x:t>
        </x:is>
      </x:c>
      <x:c r="K48" s="4" t="inlineStr">
        <x:is>
          <x:t xml:space="preserve">Banco Principal</x:t>
        </x:is>
      </x:c>
      <x:c r="L48" s="4" t="inlineStr">
        <x:is>
          <x:t xml:space="preserve">Pago</x:t>
        </x:is>
      </x:c>
      <x:c r="M48" s="13" t="n">
        <x:v>45745</x:v>
      </x:c>
      <x:c r="N48" s="13" t="n">
        <x:v>45745</x:v>
      </x:c>
      <x:c r="O48" s="14" t="n">
        <x:v>2246.7</x:v>
      </x:c>
      <x:c r="P48" s="14" t="n">
        <x:v>0</x:v>
      </x:c>
      <x:c r="Q48" s="14" t="n">
        <x:v>0</x:v>
      </x:c>
      <x:c r="R48" s="14">
        <x:f>IF(D48="Receita",O48-P48+Q48,-(O48-P48+Q48))</x:f>
        <x:v>-2246.7</x:v>
      </x:c>
      <x:c r="S48" s="4" t="inlineStr">
        <x:is>
          <x:t xml:space="preserve">Projeto Atlas</x:t>
        </x:is>
      </x:c>
      <x:c r="T48" s="4" t="inlineStr">
        <x:is>
          <x:t xml:space="preserve">Sem observações</x:t>
        </x:is>
      </x:c>
    </x:row>
    <x:row r="49">
      <x:c r="A49" s="4" t="n">
        <x:v>48</x:v>
      </x:c>
      <x:c r="B49" s="13" t="n">
        <x:v>45661</x:v>
      </x:c>
      <x:c r="C49" s="4" t="inlineStr">
        <x:is>
          <x:t xml:space="preserve">2025-01</x:t>
        </x:is>
      </x:c>
      <x:c r="D49" s="4" t="inlineStr">
        <x:is>
          <x:t xml:space="preserve">Despesa</x:t>
        </x:is>
      </x:c>
      <x:c r="E49" s="4" t="inlineStr">
        <x:is>
          <x:t xml:space="preserve">Tecnologia</x:t>
        </x:is>
      </x:c>
      <x:c r="F49" s="4" t="inlineStr">
        <x:is>
          <x:t xml:space="preserve">Licenças</x:t>
        </x:is>
      </x:c>
      <x:c r="G49" s="4" t="inlineStr">
        <x:is>
          <x:t xml:space="preserve">Comercial</x:t>
        </x:is>
      </x:c>
      <x:c r="H49" s="4" t="inlineStr">
        <x:is>
          <x:t xml:space="preserve">Licenças - ContaFácil</x:t>
        </x:is>
      </x:c>
      <x:c r="I49" s="4" t="inlineStr">
        <x:is>
          <x:t xml:space="preserve">ContaFácil</x:t>
        </x:is>
      </x:c>
      <x:c r="J49" s="4" t="inlineStr">
        <x:is>
          <x:t xml:space="preserve">Cartão</x:t>
        </x:is>
      </x:c>
      <x:c r="K49" s="4" t="inlineStr">
        <x:is>
          <x:t xml:space="preserve">Banco Principal</x:t>
        </x:is>
      </x:c>
      <x:c r="L49" s="4" t="inlineStr">
        <x:is>
          <x:t xml:space="preserve">Pendente</x:t>
        </x:is>
      </x:c>
      <x:c r="M49" s="13" t="n">
        <x:v>45672</x:v>
      </x:c>
      <x:c r="N49" s="13" t="n"/>
      <x:c r="O49" s="14" t="n">
        <x:v>7120.76</x:v>
      </x:c>
      <x:c r="P49" s="14" t="n">
        <x:v>50</x:v>
      </x:c>
      <x:c r="Q49" s="14" t="n">
        <x:v>0</x:v>
      </x:c>
      <x:c r="R49" s="14">
        <x:f>IF(D49="Receita",O49-P49+Q49,-(O49-P49+Q49))</x:f>
        <x:v>-7070.76</x:v>
      </x:c>
      <x:c r="S49" s="4" t="inlineStr">
        <x:is>
          <x:t xml:space="preserve">Projeto Sigma</x:t>
        </x:is>
      </x:c>
      <x:c r="T49" s="4" t="inlineStr">
        <x:is>
          <x:t xml:space="preserve"/>
        </x:is>
      </x:c>
    </x:row>
    <x:row r="50">
      <x:c r="A50" s="4" t="n">
        <x:v>49</x:v>
      </x:c>
      <x:c r="B50" s="13" t="n">
        <x:v>45671</x:v>
      </x:c>
      <x:c r="C50" s="4" t="inlineStr">
        <x:is>
          <x:t xml:space="preserve">2025-01</x:t>
        </x:is>
      </x:c>
      <x:c r="D50" s="4" t="inlineStr">
        <x:is>
          <x:t xml:space="preserve">Despesa</x:t>
        </x:is>
      </x:c>
      <x:c r="E50" s="4" t="inlineStr">
        <x:is>
          <x:t xml:space="preserve">Tecnologia</x:t>
        </x:is>
      </x:c>
      <x:c r="F50" s="4" t="inlineStr">
        <x:is>
          <x:t xml:space="preserve">Equipamentos</x:t>
        </x:is>
      </x:c>
      <x:c r="G50" s="4" t="inlineStr">
        <x:is>
          <x:t xml:space="preserve">Operações</x:t>
        </x:is>
      </x:c>
      <x:c r="H50" s="4" t="inlineStr">
        <x:is>
          <x:t xml:space="preserve">Equipamentos - CloudFast</x:t>
        </x:is>
      </x:c>
      <x:c r="I50" s="4" t="inlineStr">
        <x:is>
          <x:t xml:space="preserve">CloudFast</x:t>
        </x:is>
      </x:c>
      <x:c r="J50" s="4" t="inlineStr">
        <x:is>
          <x:t xml:space="preserve">Cartão</x:t>
        </x:is>
      </x:c>
      <x:c r="K50" s="4" t="inlineStr">
        <x:is>
          <x:t xml:space="preserve">Cartão Corporativo</x:t>
        </x:is>
      </x:c>
      <x:c r="L50" s="4" t="inlineStr">
        <x:is>
          <x:t xml:space="preserve">Pago</x:t>
        </x:is>
      </x:c>
      <x:c r="M50" s="13" t="n">
        <x:v>45681</x:v>
      </x:c>
      <x:c r="N50" s="13" t="n">
        <x:v>45681</x:v>
      </x:c>
      <x:c r="O50" s="14" t="n">
        <x:v>17481.01</x:v>
      </x:c>
      <x:c r="P50" s="14" t="n">
        <x:v>20</x:v>
      </x:c>
      <x:c r="Q50" s="14" t="n">
        <x:v>10</x:v>
      </x:c>
      <x:c r="R50" s="14">
        <x:f>IF(D50="Receita",O50-P50+Q50,-(O50-P50+Q50))</x:f>
        <x:v>-17471.01</x:v>
      </x:c>
      <x:c r="S50" s="4" t="inlineStr">
        <x:is>
          <x:t xml:space="preserve">Projeto Aurora</x:t>
        </x:is>
      </x:c>
      <x:c r="T50" s="4" t="inlineStr">
        <x:is>
          <x:t xml:space="preserve">Sem observações</x:t>
        </x:is>
      </x:c>
    </x:row>
    <x:row r="51">
      <x:c r="A51" s="4" t="n">
        <x:v>50</x:v>
      </x:c>
      <x:c r="B51" s="13" t="n">
        <x:v>45760</x:v>
      </x:c>
      <x:c r="C51" s="4" t="inlineStr">
        <x:is>
          <x:t xml:space="preserve">2025-04</x:t>
        </x:is>
      </x:c>
      <x:c r="D51" s="4" t="inlineStr">
        <x:is>
          <x:t xml:space="preserve">Despesa</x:t>
        </x:is>
      </x:c>
      <x:c r="E51" s="4" t="inlineStr">
        <x:is>
          <x:t xml:space="preserve">Administrativo</x:t>
        </x:is>
      </x:c>
      <x:c r="F51" s="4" t="inlineStr">
        <x:is>
          <x:t xml:space="preserve">Jurídico</x:t>
        </x:is>
      </x:c>
      <x:c r="G51" s="4" t="inlineStr">
        <x:is>
          <x:t xml:space="preserve">Comercial</x:t>
        </x:is>
      </x:c>
      <x:c r="H51" s="4" t="inlineStr">
        <x:is>
          <x:t xml:space="preserve">Jurídico - EnergiaSul</x:t>
        </x:is>
      </x:c>
      <x:c r="I51" s="4" t="inlineStr">
        <x:is>
          <x:t xml:space="preserve">EnergiaSul</x:t>
        </x:is>
      </x:c>
      <x:c r="J51" s="4" t="inlineStr">
        <x:is>
          <x:t xml:space="preserve">Cartão</x:t>
        </x:is>
      </x:c>
      <x:c r="K51" s="4" t="inlineStr">
        <x:is>
          <x:t xml:space="preserve">Cartão Corporativo</x:t>
        </x:is>
      </x:c>
      <x:c r="L51" s="4" t="inlineStr">
        <x:is>
          <x:t xml:space="preserve">Atrasado</x:t>
        </x:is>
      </x:c>
      <x:c r="M51" s="13" t="n">
        <x:v>45774</x:v>
      </x:c>
      <x:c r="N51" s="13" t="n"/>
      <x:c r="O51" s="14" t="n">
        <x:v>966.61</x:v>
      </x:c>
      <x:c r="P51" s="14" t="n">
        <x:v>100</x:v>
      </x:c>
      <x:c r="Q51" s="14" t="n">
        <x:v>0</x:v>
      </x:c>
      <x:c r="R51" s="14">
        <x:f>IF(D51="Receita",O51-P51+Q51,-(O51-P51+Q51))</x:f>
        <x:v>-866.61</x:v>
      </x:c>
      <x:c r="S51" s="4" t="inlineStr">
        <x:is>
          <x:t xml:space="preserve">Projeto Aurora</x:t>
        </x:is>
      </x:c>
      <x:c r="T51" s="4" t="inlineStr">
        <x:is>
          <x:t xml:space="preserve">Ajuste financeiro</x:t>
        </x:is>
      </x:c>
    </x:row>
    <x:row r="52">
      <x:c r="A52" s="4" t="n">
        <x:v>51</x:v>
      </x:c>
      <x:c r="B52" s="13" t="n">
        <x:v>45690</x:v>
      </x:c>
      <x:c r="C52" s="4" t="inlineStr">
        <x:is>
          <x:t xml:space="preserve">2025-02</x:t>
        </x:is>
      </x:c>
      <x:c r="D52" s="4" t="inlineStr">
        <x:is>
          <x:t xml:space="preserve">Receita</x:t>
        </x:is>
      </x:c>
      <x:c r="E52" s="4" t="inlineStr">
        <x:is>
          <x:t xml:space="preserve">Receita Financeira</x:t>
        </x:is>
      </x:c>
      <x:c r="F52" s="4" t="inlineStr">
        <x:is>
          <x:t xml:space="preserve">Juros Recebidos</x:t>
        </x:is>
      </x:c>
      <x:c r="G52" s="4" t="inlineStr">
        <x:is>
          <x:t xml:space="preserve">Comercial</x:t>
        </x:is>
      </x:c>
      <x:c r="H52" s="4" t="inlineStr">
        <x:is>
          <x:t xml:space="preserve">Juros Recebidos - Cliente Gama</x:t>
        </x:is>
      </x:c>
      <x:c r="I52" s="4" t="inlineStr">
        <x:is>
          <x:t xml:space="preserve">Cliente Gama</x:t>
        </x:is>
      </x:c>
      <x:c r="J52" s="4" t="inlineStr">
        <x:is>
          <x:t xml:space="preserve">Cartão</x:t>
        </x:is>
      </x:c>
      <x:c r="K52" s="4" t="inlineStr">
        <x:is>
          <x:t xml:space="preserve">Cartão Corporativo</x:t>
        </x:is>
      </x:c>
      <x:c r="L52" s="4" t="inlineStr">
        <x:is>
          <x:t xml:space="preserve">Pago</x:t>
        </x:is>
      </x:c>
      <x:c r="M52" s="13" t="n">
        <x:v>45710</x:v>
      </x:c>
      <x:c r="N52" s="13" t="n">
        <x:v>45710</x:v>
      </x:c>
      <x:c r="O52" s="14" t="n">
        <x:v>11475.36</x:v>
      </x:c>
      <x:c r="P52" s="14" t="n">
        <x:v>229.51</x:v>
      </x:c>
      <x:c r="Q52" s="14" t="n">
        <x:v>15</x:v>
      </x:c>
      <x:c r="R52" s="14">
        <x:f>IF(D52="Receita",O52-P52+Q52,-(O52-P52+Q52))</x:f>
        <x:v>11260.85</x:v>
      </x:c>
      <x:c r="S52" s="4" t="inlineStr">
        <x:is>
          <x:t xml:space="preserve">Expansão</x:t>
        </x:is>
      </x:c>
      <x:c r="T52" s="4" t="inlineStr">
        <x:is>
          <x:t xml:space="preserve">Sem observações</x:t>
        </x:is>
      </x:c>
    </x:row>
    <x:row r="53">
      <x:c r="A53" s="4" t="n">
        <x:v>52</x:v>
      </x:c>
      <x:c r="B53" s="13" t="n">
        <x:v>45758</x:v>
      </x:c>
      <x:c r="C53" s="4" t="inlineStr">
        <x:is>
          <x:t xml:space="preserve">2025-04</x:t>
        </x:is>
      </x:c>
      <x:c r="D53" s="4" t="inlineStr">
        <x:is>
          <x:t xml:space="preserve">Receita</x:t>
        </x:is>
      </x:c>
      <x:c r="E53" s="4" t="inlineStr">
        <x:is>
          <x:t xml:space="preserve">Outras Receitas</x:t>
        </x:is>
      </x:c>
      <x:c r="F53" s="4" t="inlineStr">
        <x:is>
          <x:t xml:space="preserve">Reembolso</x:t>
        </x:is>
      </x:c>
      <x:c r="G53" s="4" t="inlineStr">
        <x:is>
          <x:t xml:space="preserve">Comercial</x:t>
        </x:is>
      </x:c>
      <x:c r="H53" s="4" t="inlineStr">
        <x:is>
          <x:t xml:space="preserve">Reembolso - Cliente Alfa</x:t>
        </x:is>
      </x:c>
      <x:c r="I53" s="4" t="inlineStr">
        <x:is>
          <x:t xml:space="preserve">Cliente Alfa</x:t>
        </x:is>
      </x:c>
      <x:c r="J53" s="4" t="inlineStr">
        <x:is>
          <x:t xml:space="preserve">Cartão</x:t>
        </x:is>
      </x:c>
      <x:c r="K53" s="4" t="inlineStr">
        <x:is>
          <x:t xml:space="preserve">Cartão Corporativo</x:t>
        </x:is>
      </x:c>
      <x:c r="L53" s="4" t="inlineStr">
        <x:is>
          <x:t xml:space="preserve">Pendente</x:t>
        </x:is>
      </x:c>
      <x:c r="M53" s="13" t="n">
        <x:v>45765</x:v>
      </x:c>
      <x:c r="N53" s="13" t="n"/>
      <x:c r="O53" s="14" t="n">
        <x:v>8463.73</x:v>
      </x:c>
      <x:c r="P53" s="14" t="n">
        <x:v>423.19</x:v>
      </x:c>
      <x:c r="Q53" s="14" t="n">
        <x:v>30</x:v>
      </x:c>
      <x:c r="R53" s="14">
        <x:f>IF(D53="Receita",O53-P53+Q53,-(O53-P53+Q53))</x:f>
        <x:v>8070.54</x:v>
      </x:c>
      <x:c r="S53" s="4" t="inlineStr">
        <x:is>
          <x:t xml:space="preserve">Rotina</x:t>
        </x:is>
      </x:c>
      <x:c r="T53" s="4" t="inlineStr">
        <x:is>
          <x:t xml:space="preserve">Renovação anual</x:t>
        </x:is>
      </x:c>
    </x:row>
    <x:row r="54">
      <x:c r="A54" s="4" t="n">
        <x:v>53</x:v>
      </x:c>
      <x:c r="B54" s="13" t="n">
        <x:v>45798</x:v>
      </x:c>
      <x:c r="C54" s="4" t="inlineStr">
        <x:is>
          <x:t xml:space="preserve">2025-05</x:t>
        </x:is>
      </x:c>
      <x:c r="D54" s="4" t="inlineStr">
        <x:is>
          <x:t xml:space="preserve">Receita</x:t>
        </x:is>
      </x:c>
      <x:c r="E54" s="4" t="inlineStr">
        <x:is>
          <x:t xml:space="preserve">Vendas</x:t>
        </x:is>
      </x:c>
      <x:c r="F54" s="4" t="inlineStr">
        <x:is>
          <x:t xml:space="preserve">Produto B</x:t>
        </x:is>
      </x:c>
      <x:c r="G54" s="4" t="inlineStr">
        <x:is>
          <x:t xml:space="preserve">Comercial</x:t>
        </x:is>
      </x:c>
      <x:c r="H54" s="4" t="inlineStr">
        <x:is>
          <x:t xml:space="preserve">Produto B - Cliente Gama</x:t>
        </x:is>
      </x:c>
      <x:c r="I54" s="4" t="inlineStr">
        <x:is>
          <x:t xml:space="preserve">Cliente Gama</x:t>
        </x:is>
      </x:c>
      <x:c r="J54" s="4" t="inlineStr">
        <x:is>
          <x:t xml:space="preserve">Boleto</x:t>
        </x:is>
      </x:c>
      <x:c r="K54" s="4" t="inlineStr">
        <x:is>
          <x:t xml:space="preserve">Banco Principal</x:t>
        </x:is>
      </x:c>
      <x:c r="L54" s="4" t="inlineStr">
        <x:is>
          <x:t xml:space="preserve">Pago</x:t>
        </x:is>
      </x:c>
      <x:c r="M54" s="13" t="n">
        <x:v>45809</x:v>
      </x:c>
      <x:c r="N54" s="13" t="n">
        <x:v>45809</x:v>
      </x:c>
      <x:c r="O54" s="14" t="n">
        <x:v>20121.78</x:v>
      </x:c>
      <x:c r="P54" s="14" t="n">
        <x:v>402.44</x:v>
      </x:c>
      <x:c r="Q54" s="14" t="n">
        <x:v>0</x:v>
      </x:c>
      <x:c r="R54" s="14">
        <x:f>IF(D54="Receita",O54-P54+Q54,-(O54-P54+Q54))</x:f>
        <x:v>19719.34</x:v>
      </x:c>
      <x:c r="S54" s="4" t="inlineStr">
        <x:is>
          <x:t xml:space="preserve">Rotina</x:t>
        </x:is>
      </x:c>
      <x:c r="T54" s="4" t="inlineStr">
        <x:is>
          <x:t xml:space="preserve">Contrato recorrente</x:t>
        </x:is>
      </x:c>
    </x:row>
    <x:row r="55">
      <x:c r="A55" s="4" t="n">
        <x:v>54</x:v>
      </x:c>
      <x:c r="B55" s="13" t="n">
        <x:v>45763</x:v>
      </x:c>
      <x:c r="C55" s="4" t="inlineStr">
        <x:is>
          <x:t xml:space="preserve">2025-04</x:t>
        </x:is>
      </x:c>
      <x:c r="D55" s="4" t="inlineStr">
        <x:is>
          <x:t xml:space="preserve">Despesa</x:t>
        </x:is>
      </x:c>
      <x:c r="E55" s="4" t="inlineStr">
        <x:is>
          <x:t xml:space="preserve">Marketing</x:t>
        </x:is>
      </x:c>
      <x:c r="F55" s="4" t="inlineStr">
        <x:is>
          <x:t xml:space="preserve">Eventos</x:t>
        </x:is>
      </x:c>
      <x:c r="G55" s="4" t="inlineStr">
        <x:is>
          <x:t xml:space="preserve">Backoffice</x:t>
        </x:is>
      </x:c>
      <x:c r="H55" s="4" t="inlineStr">
        <x:is>
          <x:t xml:space="preserve">Eventos - ContaFácil</x:t>
        </x:is>
      </x:c>
      <x:c r="I55" s="4" t="inlineStr">
        <x:is>
          <x:t xml:space="preserve">ContaFácil</x:t>
        </x:is>
      </x:c>
      <x:c r="J55" s="4" t="inlineStr">
        <x:is>
          <x:t xml:space="preserve">Boleto</x:t>
        </x:is>
      </x:c>
      <x:c r="K55" s="4" t="inlineStr">
        <x:is>
          <x:t xml:space="preserve">Conta Investimento</x:t>
        </x:is>
      </x:c>
      <x:c r="L55" s="4" t="inlineStr">
        <x:is>
          <x:t xml:space="preserve">Pago</x:t>
        </x:is>
      </x:c>
      <x:c r="M55" s="13" t="n">
        <x:v>45781</x:v>
      </x:c>
      <x:c r="N55" s="13" t="n">
        <x:v>45781</x:v>
      </x:c>
      <x:c r="O55" s="14" t="n">
        <x:v>13557.83</x:v>
      </x:c>
      <x:c r="P55" s="14" t="n">
        <x:v>20</x:v>
      </x:c>
      <x:c r="Q55" s="14" t="n">
        <x:v>0</x:v>
      </x:c>
      <x:c r="R55" s="14">
        <x:f>IF(D55="Receita",O55-P55+Q55,-(O55-P55+Q55))</x:f>
        <x:v>-13537.83</x:v>
      </x:c>
      <x:c r="S55" s="4" t="inlineStr">
        <x:is>
          <x:t xml:space="preserve">Projeto Aurora</x:t>
        </x:is>
      </x:c>
      <x:c r="T55" s="4" t="inlineStr">
        <x:is>
          <x:t xml:space="preserve">Pagamento parcial</x:t>
        </x:is>
      </x:c>
    </x:row>
    <x:row r="56">
      <x:c r="A56" s="4" t="n">
        <x:v>55</x:v>
      </x:c>
      <x:c r="B56" s="13" t="n">
        <x:v>45721</x:v>
      </x:c>
      <x:c r="C56" s="4" t="inlineStr">
        <x:is>
          <x:t xml:space="preserve">2025-03</x:t>
        </x:is>
      </x:c>
      <x:c r="D56" s="4" t="inlineStr">
        <x:is>
          <x:t xml:space="preserve">Despesa</x:t>
        </x:is>
      </x:c>
      <x:c r="E56" s="4" t="inlineStr">
        <x:is>
          <x:t xml:space="preserve">Operacional</x:t>
        </x:is>
      </x:c>
      <x:c r="F56" s="4" t="inlineStr">
        <x:is>
          <x:t xml:space="preserve">Manutenção</x:t>
        </x:is>
      </x:c>
      <x:c r="G56" s="4" t="inlineStr">
        <x:is>
          <x:t xml:space="preserve">Comercial</x:t>
        </x:is>
      </x:c>
      <x:c r="H56" s="4" t="inlineStr">
        <x:is>
          <x:t xml:space="preserve">Manutenção - ContaFácil</x:t>
        </x:is>
      </x:c>
      <x:c r="I56" s="4" t="inlineStr">
        <x:is>
          <x:t xml:space="preserve">ContaFácil</x:t>
        </x:is>
      </x:c>
      <x:c r="J56" s="4" t="inlineStr">
        <x:is>
          <x:t xml:space="preserve">TED</x:t>
        </x:is>
      </x:c>
      <x:c r="K56" s="4" t="inlineStr">
        <x:is>
          <x:t xml:space="preserve">Cartão Corporativo</x:t>
        </x:is>
      </x:c>
      <x:c r="L56" s="4" t="inlineStr">
        <x:is>
          <x:t xml:space="preserve">Atrasado</x:t>
        </x:is>
      </x:c>
      <x:c r="M56" s="13" t="n">
        <x:v>45736</x:v>
      </x:c>
      <x:c r="N56" s="13" t="n">
        <x:v>45739</x:v>
      </x:c>
      <x:c r="O56" s="14" t="n">
        <x:v>2360.27</x:v>
      </x:c>
      <x:c r="P56" s="14" t="n">
        <x:v>20</x:v>
      </x:c>
      <x:c r="Q56" s="14" t="n">
        <x:v>25</x:v>
      </x:c>
      <x:c r="R56" s="14">
        <x:f>IF(D56="Receita",O56-P56+Q56,-(O56-P56+Q56))</x:f>
        <x:v>-2365.27</x:v>
      </x:c>
      <x:c r="S56" s="4" t="inlineStr">
        <x:is>
          <x:t xml:space="preserve">Rotina</x:t>
        </x:is>
      </x:c>
      <x:c r="T56" s="4" t="inlineStr">
        <x:is>
          <x:t xml:space="preserve">Renovação anual</x:t>
        </x:is>
      </x:c>
    </x:row>
    <x:row r="57">
      <x:c r="A57" s="4" t="n">
        <x:v>56</x:v>
      </x:c>
      <x:c r="B57" s="13" t="n">
        <x:v>45685</x:v>
      </x:c>
      <x:c r="C57" s="4" t="inlineStr">
        <x:is>
          <x:t xml:space="preserve">2025-01</x:t>
        </x:is>
      </x:c>
      <x:c r="D57" s="4" t="inlineStr">
        <x:is>
          <x:t xml:space="preserve">Receita</x:t>
        </x:is>
      </x:c>
      <x:c r="E57" s="4" t="inlineStr">
        <x:is>
          <x:t xml:space="preserve">Vendas</x:t>
        </x:is>
      </x:c>
      <x:c r="F57" s="4" t="inlineStr">
        <x:is>
          <x:t xml:space="preserve">Produto A</x:t>
        </x:is>
      </x:c>
      <x:c r="G57" s="4" t="inlineStr">
        <x:is>
          <x:t xml:space="preserve">Comercial</x:t>
        </x:is>
      </x:c>
      <x:c r="H57" s="4" t="inlineStr">
        <x:is>
          <x:t xml:space="preserve">Produto A - Cliente Delta</x:t>
        </x:is>
      </x:c>
      <x:c r="I57" s="4" t="inlineStr">
        <x:is>
          <x:t xml:space="preserve">Cliente Delta</x:t>
        </x:is>
      </x:c>
      <x:c r="J57" s="4" t="inlineStr">
        <x:is>
          <x:t xml:space="preserve">PIX</x:t>
        </x:is>
      </x:c>
      <x:c r="K57" s="4" t="inlineStr">
        <x:is>
          <x:t xml:space="preserve">Caixa</x:t>
        </x:is>
      </x:c>
      <x:c r="L57" s="4" t="inlineStr">
        <x:is>
          <x:t xml:space="preserve">Pago</x:t>
        </x:is>
      </x:c>
      <x:c r="M57" s="13" t="n">
        <x:v>45689</x:v>
      </x:c>
      <x:c r="N57" s="13" t="n">
        <x:v>45689</x:v>
      </x:c>
      <x:c r="O57" s="14" t="n">
        <x:v>4347.61</x:v>
      </x:c>
      <x:c r="P57" s="14" t="n">
        <x:v>0</x:v>
      </x:c>
      <x:c r="Q57" s="14" t="n">
        <x:v>0</x:v>
      </x:c>
      <x:c r="R57" s="14">
        <x:f>IF(D57="Receita",O57-P57+Q57,-(O57-P57+Q57))</x:f>
        <x:v>4347.61</x:v>
      </x:c>
      <x:c r="S57" s="4" t="inlineStr">
        <x:is>
          <x:t xml:space="preserve">Projeto Atlas</x:t>
        </x:is>
      </x:c>
      <x:c r="T57" s="4" t="inlineStr">
        <x:is>
          <x:t xml:space="preserve">Sem observações</x:t>
        </x:is>
      </x:c>
    </x:row>
    <x:row r="58">
      <x:c r="A58" s="4" t="n">
        <x:v>57</x:v>
      </x:c>
      <x:c r="B58" s="13" t="n">
        <x:v>45722</x:v>
      </x:c>
      <x:c r="C58" s="4" t="inlineStr">
        <x:is>
          <x:t xml:space="preserve">2025-03</x:t>
        </x:is>
      </x:c>
      <x:c r="D58" s="4" t="inlineStr">
        <x:is>
          <x:t xml:space="preserve">Despesa</x:t>
        </x:is>
      </x:c>
      <x:c r="E58" s="4" t="inlineStr">
        <x:is>
          <x:t xml:space="preserve">Operacional</x:t>
        </x:is>
      </x:c>
      <x:c r="F58" s="4" t="inlineStr">
        <x:is>
          <x:t xml:space="preserve">Material de Escritório</x:t>
        </x:is>
      </x:c>
      <x:c r="G58" s="4" t="inlineStr">
        <x:is>
          <x:t xml:space="preserve">Comercial</x:t>
        </x:is>
      </x:c>
      <x:c r="H58" s="4" t="inlineStr">
        <x:is>
          <x:t xml:space="preserve">Material de Escritório - Fornecedor Nexus</x:t>
        </x:is>
      </x:c>
      <x:c r="I58" s="4" t="inlineStr">
        <x:is>
          <x:t xml:space="preserve">Fornecedor Nexus</x:t>
        </x:is>
      </x:c>
      <x:c r="J58" s="4" t="inlineStr">
        <x:is>
          <x:t xml:space="preserve">Cartão</x:t>
        </x:is>
      </x:c>
      <x:c r="K58" s="4" t="inlineStr">
        <x:is>
          <x:t xml:space="preserve">Conta Investimento</x:t>
        </x:is>
      </x:c>
      <x:c r="L58" s="4" t="inlineStr">
        <x:is>
          <x:t xml:space="preserve">Pendente</x:t>
        </x:is>
      </x:c>
      <x:c r="M58" s="13" t="n">
        <x:v>45728</x:v>
      </x:c>
      <x:c r="N58" s="13" t="n"/>
      <x:c r="O58" s="14" t="n">
        <x:v>1340.71</x:v>
      </x:c>
      <x:c r="P58" s="14" t="n">
        <x:v>50</x:v>
      </x:c>
      <x:c r="Q58" s="14" t="n">
        <x:v>10</x:v>
      </x:c>
      <x:c r="R58" s="14">
        <x:f>IF(D58="Receita",O58-P58+Q58,-(O58-P58+Q58))</x:f>
        <x:v>-1300.71</x:v>
      </x:c>
      <x:c r="S58" s="4" t="inlineStr">
        <x:is>
          <x:t xml:space="preserve">Expansão</x:t>
        </x:is>
      </x:c>
      <x:c r="T58" s="4" t="inlineStr">
        <x:is>
          <x:t xml:space="preserve"/>
        </x:is>
      </x:c>
    </x:row>
    <x:row r="59">
      <x:c r="A59" s="4" t="n">
        <x:v>58</x:v>
      </x:c>
      <x:c r="B59" s="13" t="n">
        <x:v>45660</x:v>
      </x:c>
      <x:c r="C59" s="4" t="inlineStr">
        <x:is>
          <x:t xml:space="preserve">2025-01</x:t>
        </x:is>
      </x:c>
      <x:c r="D59" s="4" t="inlineStr">
        <x:is>
          <x:t xml:space="preserve">Despesa</x:t>
        </x:is>
      </x:c>
      <x:c r="E59" s="4" t="inlineStr">
        <x:is>
          <x:t xml:space="preserve">Operacional</x:t>
        </x:is>
      </x:c>
      <x:c r="F59" s="4" t="inlineStr">
        <x:is>
          <x:t xml:space="preserve">Manutenção</x:t>
        </x:is>
      </x:c>
      <x:c r="G59" s="4" t="inlineStr">
        <x:is>
          <x:t xml:space="preserve">Operações</x:t>
        </x:is>
      </x:c>
      <x:c r="H59" s="4" t="inlineStr">
        <x:is>
          <x:t xml:space="preserve">Manutenção - ContaFácil</x:t>
        </x:is>
      </x:c>
      <x:c r="I59" s="4" t="inlineStr">
        <x:is>
          <x:t xml:space="preserve">ContaFácil</x:t>
        </x:is>
      </x:c>
      <x:c r="J59" s="4" t="inlineStr">
        <x:is>
          <x:t xml:space="preserve">TED</x:t>
        </x:is>
      </x:c>
      <x:c r="K59" s="4" t="inlineStr">
        <x:is>
          <x:t xml:space="preserve">Caixa</x:t>
        </x:is>
      </x:c>
      <x:c r="L59" s="4" t="inlineStr">
        <x:is>
          <x:t xml:space="preserve">Pago</x:t>
        </x:is>
      </x:c>
      <x:c r="M59" s="13" t="n">
        <x:v>45667</x:v>
      </x:c>
      <x:c r="N59" s="13" t="n">
        <x:v>45667</x:v>
      </x:c>
      <x:c r="O59" s="14" t="n">
        <x:v>8597.450000000001</x:v>
      </x:c>
      <x:c r="P59" s="14" t="n">
        <x:v>0</x:v>
      </x:c>
      <x:c r="Q59" s="14" t="n">
        <x:v>10</x:v>
      </x:c>
      <x:c r="R59" s="14">
        <x:f>IF(D59="Receita",O59-P59+Q59,-(O59-P59+Q59))</x:f>
        <x:v>-8607.45</x:v>
      </x:c>
      <x:c r="S59" s="4" t="inlineStr">
        <x:is>
          <x:t xml:space="preserve">Projeto Aurora</x:t>
        </x:is>
      </x:c>
      <x:c r="T59" s="4" t="inlineStr">
        <x:is>
          <x:t xml:space="preserve"/>
        </x:is>
      </x:c>
    </x:row>
    <x:row r="60">
      <x:c r="A60" s="4" t="n">
        <x:v>59</x:v>
      </x:c>
      <x:c r="B60" s="13" t="n">
        <x:v>45707</x:v>
      </x:c>
      <x:c r="C60" s="4" t="inlineStr">
        <x:is>
          <x:t xml:space="preserve">2025-02</x:t>
        </x:is>
      </x:c>
      <x:c r="D60" s="4" t="inlineStr">
        <x:is>
          <x:t xml:space="preserve">Despesa</x:t>
        </x:is>
      </x:c>
      <x:c r="E60" s="4" t="inlineStr">
        <x:is>
          <x:t xml:space="preserve">Operacional</x:t>
        </x:is>
      </x:c>
      <x:c r="F60" s="4" t="inlineStr">
        <x:is>
          <x:t xml:space="preserve">Frete</x:t>
        </x:is>
      </x:c>
      <x:c r="G60" s="4" t="inlineStr">
        <x:is>
          <x:t xml:space="preserve">Operações</x:t>
        </x:is>
      </x:c>
      <x:c r="H60" s="4" t="inlineStr">
        <x:is>
          <x:t xml:space="preserve">Frete - ContaFácil</x:t>
        </x:is>
      </x:c>
      <x:c r="I60" s="4" t="inlineStr">
        <x:is>
          <x:t xml:space="preserve">ContaFácil</x:t>
        </x:is>
      </x:c>
      <x:c r="J60" s="4" t="inlineStr">
        <x:is>
          <x:t xml:space="preserve">Cartão</x:t>
        </x:is>
      </x:c>
      <x:c r="K60" s="4" t="inlineStr">
        <x:is>
          <x:t xml:space="preserve">Cartão Corporativo</x:t>
        </x:is>
      </x:c>
      <x:c r="L60" s="4" t="inlineStr">
        <x:is>
          <x:t xml:space="preserve">Pago</x:t>
        </x:is>
      </x:c>
      <x:c r="M60" s="13" t="n">
        <x:v>45722</x:v>
      </x:c>
      <x:c r="N60" s="13" t="n">
        <x:v>45722</x:v>
      </x:c>
      <x:c r="O60" s="14" t="n">
        <x:v>12039</x:v>
      </x:c>
      <x:c r="P60" s="14" t="n">
        <x:v>0</x:v>
      </x:c>
      <x:c r="Q60" s="14" t="n">
        <x:v>0</x:v>
      </x:c>
      <x:c r="R60" s="14">
        <x:f>IF(D60="Receita",O60-P60+Q60,-(O60-P60+Q60))</x:f>
        <x:v>-12039</x:v>
      </x:c>
      <x:c r="S60" s="4" t="inlineStr">
        <x:is>
          <x:t xml:space="preserve">Projeto Sigma</x:t>
        </x:is>
      </x:c>
      <x:c r="T60" s="4" t="inlineStr">
        <x:is>
          <x:t xml:space="preserve">Sem observações</x:t>
        </x:is>
      </x:c>
    </x:row>
    <x:row r="61">
      <x:c r="A61" s="4" t="n">
        <x:v>60</x:v>
      </x:c>
      <x:c r="B61" s="13" t="n">
        <x:v>45759</x:v>
      </x:c>
      <x:c r="C61" s="4" t="inlineStr">
        <x:is>
          <x:t xml:space="preserve">2025-04</x:t>
        </x:is>
      </x:c>
      <x:c r="D61" s="4" t="inlineStr">
        <x:is>
          <x:t xml:space="preserve">Receita</x:t>
        </x:is>
      </x:c>
      <x:c r="E61" s="4" t="inlineStr">
        <x:is>
          <x:t xml:space="preserve">Receita Financeira</x:t>
        </x:is>
      </x:c>
      <x:c r="F61" s="4" t="inlineStr">
        <x:is>
          <x:t xml:space="preserve">Rendimento Conta</x:t>
        </x:is>
      </x:c>
      <x:c r="G61" s="4" t="inlineStr">
        <x:is>
          <x:t xml:space="preserve">Comercial</x:t>
        </x:is>
      </x:c>
      <x:c r="H61" s="4" t="inlineStr">
        <x:is>
          <x:t xml:space="preserve">Rendimento Conta - Cliente Beta</x:t>
        </x:is>
      </x:c>
      <x:c r="I61" s="4" t="inlineStr">
        <x:is>
          <x:t xml:space="preserve">Cliente Beta</x:t>
        </x:is>
      </x:c>
      <x:c r="J61" s="4" t="inlineStr">
        <x:is>
          <x:t xml:space="preserve">TED</x:t>
        </x:is>
      </x:c>
      <x:c r="K61" s="4" t="inlineStr">
        <x:is>
          <x:t xml:space="preserve">Conta Investimento</x:t>
        </x:is>
      </x:c>
      <x:c r="L61" s="4" t="inlineStr">
        <x:is>
          <x:t xml:space="preserve">Pago</x:t>
        </x:is>
      </x:c>
      <x:c r="M61" s="13" t="n">
        <x:v>45765</x:v>
      </x:c>
      <x:c r="N61" s="13" t="n">
        <x:v>45765</x:v>
      </x:c>
      <x:c r="O61" s="14" t="n">
        <x:v>18105.8</x:v>
      </x:c>
      <x:c r="P61" s="14" t="n">
        <x:v>0</x:v>
      </x:c>
      <x:c r="Q61" s="14" t="n">
        <x:v>0</x:v>
      </x:c>
      <x:c r="R61" s="14">
        <x:f>IF(D61="Receita",O61-P61+Q61,-(O61-P61+Q61))</x:f>
        <x:v>18105.8</x:v>
      </x:c>
      <x:c r="S61" s="4" t="inlineStr">
        <x:is>
          <x:t xml:space="preserve">Projeto Sigma</x:t>
        </x:is>
      </x:c>
      <x:c r="T61" s="4" t="inlineStr">
        <x:is>
          <x:t xml:space="preserve">Pagamento parcial</x:t>
        </x:is>
      </x:c>
    </x:row>
    <x:row r="62">
      <x:c r="A62" s="4" t="n">
        <x:v>61</x:v>
      </x:c>
      <x:c r="B62" s="13" t="n">
        <x:v>45685</x:v>
      </x:c>
      <x:c r="C62" s="4" t="inlineStr">
        <x:is>
          <x:t xml:space="preserve">2025-01</x:t>
        </x:is>
      </x:c>
      <x:c r="D62" s="4" t="inlineStr">
        <x:is>
          <x:t xml:space="preserve">Despesa</x:t>
        </x:is>
      </x:c>
      <x:c r="E62" s="4" t="inlineStr">
        <x:is>
          <x:t xml:space="preserve">Operacional</x:t>
        </x:is>
      </x:c>
      <x:c r="F62" s="4" t="inlineStr">
        <x:is>
          <x:t xml:space="preserve">Material de Escritório</x:t>
        </x:is>
      </x:c>
      <x:c r="G62" s="4" t="inlineStr">
        <x:is>
          <x:t xml:space="preserve">Operações</x:t>
        </x:is>
      </x:c>
      <x:c r="H62" s="4" t="inlineStr">
        <x:is>
          <x:t xml:space="preserve">Material de Escritório - CloudFast</x:t>
        </x:is>
      </x:c>
      <x:c r="I62" s="4" t="inlineStr">
        <x:is>
          <x:t xml:space="preserve">CloudFast</x:t>
        </x:is>
      </x:c>
      <x:c r="J62" s="4" t="inlineStr">
        <x:is>
          <x:t xml:space="preserve">TED</x:t>
        </x:is>
      </x:c>
      <x:c r="K62" s="4" t="inlineStr">
        <x:is>
          <x:t xml:space="preserve">Banco Principal</x:t>
        </x:is>
      </x:c>
      <x:c r="L62" s="4" t="inlineStr">
        <x:is>
          <x:t xml:space="preserve">Pago</x:t>
        </x:is>
      </x:c>
      <x:c r="M62" s="13" t="n">
        <x:v>45704</x:v>
      </x:c>
      <x:c r="N62" s="13" t="n">
        <x:v>45704</x:v>
      </x:c>
      <x:c r="O62" s="14" t="n">
        <x:v>8772.15</x:v>
      </x:c>
      <x:c r="P62" s="14" t="n">
        <x:v>100</x:v>
      </x:c>
      <x:c r="Q62" s="14" t="n">
        <x:v>0</x:v>
      </x:c>
      <x:c r="R62" s="14">
        <x:f>IF(D62="Receita",O62-P62+Q62,-(O62-P62+Q62))</x:f>
        <x:v>-8672.15</x:v>
      </x:c>
      <x:c r="S62" s="4" t="inlineStr">
        <x:is>
          <x:t xml:space="preserve">Projeto Atlas</x:t>
        </x:is>
      </x:c>
      <x:c r="T62" s="4" t="inlineStr">
        <x:is>
          <x:t xml:space="preserve"/>
        </x:is>
      </x:c>
    </x:row>
    <x:row r="63">
      <x:c r="A63" s="4" t="n">
        <x:v>62</x:v>
      </x:c>
      <x:c r="B63" s="13" t="n">
        <x:v>45810</x:v>
      </x:c>
      <x:c r="C63" s="4" t="inlineStr">
        <x:is>
          <x:t xml:space="preserve">2025-06</x:t>
        </x:is>
      </x:c>
      <x:c r="D63" s="4" t="inlineStr">
        <x:is>
          <x:t xml:space="preserve">Receita</x:t>
        </x:is>
      </x:c>
      <x:c r="E63" s="4" t="inlineStr">
        <x:is>
          <x:t xml:space="preserve">Vendas</x:t>
        </x:is>
      </x:c>
      <x:c r="F63" s="4" t="inlineStr">
        <x:is>
          <x:t xml:space="preserve">Produto A</x:t>
        </x:is>
      </x:c>
      <x:c r="G63" s="4" t="inlineStr">
        <x:is>
          <x:t xml:space="preserve">Comercial</x:t>
        </x:is>
      </x:c>
      <x:c r="H63" s="4" t="inlineStr">
        <x:is>
          <x:t xml:space="preserve">Produto A - Cliente Beta</x:t>
        </x:is>
      </x:c>
      <x:c r="I63" s="4" t="inlineStr">
        <x:is>
          <x:t xml:space="preserve">Cliente Beta</x:t>
        </x:is>
      </x:c>
      <x:c r="J63" s="4" t="inlineStr">
        <x:is>
          <x:t xml:space="preserve">Boleto</x:t>
        </x:is>
      </x:c>
      <x:c r="K63" s="4" t="inlineStr">
        <x:is>
          <x:t xml:space="preserve">Caixa</x:t>
        </x:is>
      </x:c>
      <x:c r="L63" s="4" t="inlineStr">
        <x:is>
          <x:t xml:space="preserve">Pago</x:t>
        </x:is>
      </x:c>
      <x:c r="M63" s="13" t="n">
        <x:v>45813</x:v>
      </x:c>
      <x:c r="N63" s="13" t="n">
        <x:v>45813</x:v>
      </x:c>
      <x:c r="O63" s="14" t="n">
        <x:v>14676.28</x:v>
      </x:c>
      <x:c r="P63" s="14" t="n">
        <x:v>293.53</x:v>
      </x:c>
      <x:c r="Q63" s="14" t="n">
        <x:v>45</x:v>
      </x:c>
      <x:c r="R63" s="14">
        <x:f>IF(D63="Receita",O63-P63+Q63,-(O63-P63+Q63))</x:f>
        <x:v>14427.75</x:v>
      </x:c>
      <x:c r="S63" s="4" t="inlineStr">
        <x:is>
          <x:t xml:space="preserve">Projeto Atlas</x:t>
        </x:is>
      </x:c>
      <x:c r="T63" s="4" t="inlineStr">
        <x:is>
          <x:t xml:space="preserve">Renovação anual</x:t>
        </x:is>
      </x:c>
    </x:row>
    <x:row r="64">
      <x:c r="A64" s="4" t="n">
        <x:v>63</x:v>
      </x:c>
      <x:c r="B64" s="13" t="n">
        <x:v>45825</x:v>
      </x:c>
      <x:c r="C64" s="4" t="inlineStr">
        <x:is>
          <x:t xml:space="preserve">2025-06</x:t>
        </x:is>
      </x:c>
      <x:c r="D64" s="4" t="inlineStr">
        <x:is>
          <x:t xml:space="preserve">Despesa</x:t>
        </x:is>
      </x:c>
      <x:c r="E64" s="4" t="inlineStr">
        <x:is>
          <x:t xml:space="preserve">Operacional</x:t>
        </x:is>
      </x:c>
      <x:c r="F64" s="4" t="inlineStr">
        <x:is>
          <x:t xml:space="preserve">Frete</x:t>
        </x:is>
      </x:c>
      <x:c r="G64" s="4" t="inlineStr">
        <x:is>
          <x:t xml:space="preserve">TI</x:t>
        </x:is>
      </x:c>
      <x:c r="H64" s="4" t="inlineStr">
        <x:is>
          <x:t xml:space="preserve">Frete - ContaFácil</x:t>
        </x:is>
      </x:c>
      <x:c r="I64" s="4" t="inlineStr">
        <x:is>
          <x:t xml:space="preserve">ContaFácil</x:t>
        </x:is>
      </x:c>
      <x:c r="J64" s="4" t="inlineStr">
        <x:is>
          <x:t xml:space="preserve">PIX</x:t>
        </x:is>
      </x:c>
      <x:c r="K64" s="4" t="inlineStr">
        <x:is>
          <x:t xml:space="preserve">Banco Principal</x:t>
        </x:is>
      </x:c>
      <x:c r="L64" s="4" t="inlineStr">
        <x:is>
          <x:t xml:space="preserve">Pago</x:t>
        </x:is>
      </x:c>
      <x:c r="M64" s="13" t="n">
        <x:v>45830</x:v>
      </x:c>
      <x:c r="N64" s="13" t="n">
        <x:v>45830</x:v>
      </x:c>
      <x:c r="O64" s="14" t="n">
        <x:v>15117.16</x:v>
      </x:c>
      <x:c r="P64" s="14" t="n">
        <x:v>0</x:v>
      </x:c>
      <x:c r="Q64" s="14" t="n">
        <x:v>0</x:v>
      </x:c>
      <x:c r="R64" s="14">
        <x:f>IF(D64="Receita",O64-P64+Q64,-(O64-P64+Q64))</x:f>
        <x:v>-15117.16</x:v>
      </x:c>
      <x:c r="S64" s="4" t="inlineStr">
        <x:is>
          <x:t xml:space="preserve">Projeto Sigma</x:t>
        </x:is>
      </x:c>
      <x:c r="T64" s="4" t="inlineStr">
        <x:is>
          <x:t xml:space="preserve"/>
        </x:is>
      </x:c>
    </x:row>
    <x:row r="65">
      <x:c r="A65" s="4" t="n">
        <x:v>64</x:v>
      </x:c>
      <x:c r="B65" s="13" t="n">
        <x:v>45747</x:v>
      </x:c>
      <x:c r="C65" s="4" t="inlineStr">
        <x:is>
          <x:t xml:space="preserve">2025-03</x:t>
        </x:is>
      </x:c>
      <x:c r="D65" s="4" t="inlineStr">
        <x:is>
          <x:t xml:space="preserve">Despesa</x:t>
        </x:is>
      </x:c>
      <x:c r="E65" s="4" t="inlineStr">
        <x:is>
          <x:t xml:space="preserve">Folha</x:t>
        </x:is>
      </x:c>
      <x:c r="F65" s="4" t="inlineStr">
        <x:is>
          <x:t xml:space="preserve">Benefícios</x:t>
        </x:is>
      </x:c>
      <x:c r="G65" s="4" t="inlineStr">
        <x:is>
          <x:t xml:space="preserve">TI</x:t>
        </x:is>
      </x:c>
      <x:c r="H65" s="4" t="inlineStr">
        <x:is>
          <x:t xml:space="preserve">Benefícios - CloudFast</x:t>
        </x:is>
      </x:c>
      <x:c r="I65" s="4" t="inlineStr">
        <x:is>
          <x:t xml:space="preserve">CloudFast</x:t>
        </x:is>
      </x:c>
      <x:c r="J65" s="4" t="inlineStr">
        <x:is>
          <x:t xml:space="preserve">PIX</x:t>
        </x:is>
      </x:c>
      <x:c r="K65" s="4" t="inlineStr">
        <x:is>
          <x:t xml:space="preserve">Cartão Corporativo</x:t>
        </x:is>
      </x:c>
      <x:c r="L65" s="4" t="inlineStr">
        <x:is>
          <x:t xml:space="preserve">Pago</x:t>
        </x:is>
      </x:c>
      <x:c r="M65" s="13" t="n">
        <x:v>45760</x:v>
      </x:c>
      <x:c r="N65" s="13" t="n">
        <x:v>45760</x:v>
      </x:c>
      <x:c r="O65" s="14" t="n">
        <x:v>6470.8</x:v>
      </x:c>
      <x:c r="P65" s="14" t="n">
        <x:v>0</x:v>
      </x:c>
      <x:c r="Q65" s="14" t="n">
        <x:v>40</x:v>
      </x:c>
      <x:c r="R65" s="14">
        <x:f>IF(D65="Receita",O65-P65+Q65,-(O65-P65+Q65))</x:f>
        <x:v>-6510.8</x:v>
      </x:c>
      <x:c r="S65" s="4" t="inlineStr">
        <x:is>
          <x:t xml:space="preserve">Projeto Atlas</x:t>
        </x:is>
      </x:c>
      <x:c r="T65" s="4" t="inlineStr">
        <x:is>
          <x:t xml:space="preserve">Pagamento parcial</x:t>
        </x:is>
      </x:c>
    </x:row>
    <x:row r="66">
      <x:c r="A66" s="4" t="n">
        <x:v>65</x:v>
      </x:c>
      <x:c r="B66" s="13" t="n">
        <x:v>45796</x:v>
      </x:c>
      <x:c r="C66" s="4" t="inlineStr">
        <x:is>
          <x:t xml:space="preserve">2025-05</x:t>
        </x:is>
      </x:c>
      <x:c r="D66" s="4" t="inlineStr">
        <x:is>
          <x:t xml:space="preserve">Despesa</x:t>
        </x:is>
      </x:c>
      <x:c r="E66" s="4" t="inlineStr">
        <x:is>
          <x:t xml:space="preserve">Marketing</x:t>
        </x:is>
      </x:c>
      <x:c r="F66" s="4" t="inlineStr">
        <x:is>
          <x:t xml:space="preserve">Eventos</x:t>
        </x:is>
      </x:c>
      <x:c r="G66" s="4" t="inlineStr">
        <x:is>
          <x:t xml:space="preserve">TI</x:t>
        </x:is>
      </x:c>
      <x:c r="H66" s="4" t="inlineStr">
        <x:is>
          <x:t xml:space="preserve">Eventos - ContaFácil</x:t>
        </x:is>
      </x:c>
      <x:c r="I66" s="4" t="inlineStr">
        <x:is>
          <x:t xml:space="preserve">ContaFácil</x:t>
        </x:is>
      </x:c>
      <x:c r="J66" s="4" t="inlineStr">
        <x:is>
          <x:t xml:space="preserve">PIX</x:t>
        </x:is>
      </x:c>
      <x:c r="K66" s="4" t="inlineStr">
        <x:is>
          <x:t xml:space="preserve">Cartão Corporativo</x:t>
        </x:is>
      </x:c>
      <x:c r="L66" s="4" t="inlineStr">
        <x:is>
          <x:t xml:space="preserve">Pendente</x:t>
        </x:is>
      </x:c>
      <x:c r="M66" s="13" t="n">
        <x:v>45816</x:v>
      </x:c>
      <x:c r="N66" s="13" t="n"/>
      <x:c r="O66" s="14" t="n">
        <x:v>622.65</x:v>
      </x:c>
      <x:c r="P66" s="14" t="n">
        <x:v>20</x:v>
      </x:c>
      <x:c r="Q66" s="14" t="n">
        <x:v>0</x:v>
      </x:c>
      <x:c r="R66" s="14">
        <x:f>IF(D66="Receita",O66-P66+Q66,-(O66-P66+Q66))</x:f>
        <x:v>-602.65</x:v>
      </x:c>
      <x:c r="S66" s="4" t="inlineStr">
        <x:is>
          <x:t xml:space="preserve">Projeto Aurora</x:t>
        </x:is>
      </x:c>
      <x:c r="T66" s="4" t="inlineStr">
        <x:is>
          <x:t xml:space="preserve">Contrato recorrente</x:t>
        </x:is>
      </x:c>
    </x:row>
    <x:row r="67">
      <x:c r="A67" s="4" t="n">
        <x:v>66</x:v>
      </x:c>
      <x:c r="B67" s="13" t="n">
        <x:v>45674</x:v>
      </x:c>
      <x:c r="C67" s="4" t="inlineStr">
        <x:is>
          <x:t xml:space="preserve">2025-01</x:t>
        </x:is>
      </x:c>
      <x:c r="D67" s="4" t="inlineStr">
        <x:is>
          <x:t xml:space="preserve">Despesa</x:t>
        </x:is>
      </x:c>
      <x:c r="E67" s="4" t="inlineStr">
        <x:is>
          <x:t xml:space="preserve">Folha</x:t>
        </x:is>
      </x:c>
      <x:c r="F67" s="4" t="inlineStr">
        <x:is>
          <x:t xml:space="preserve">Encargos</x:t>
        </x:is>
      </x:c>
      <x:c r="G67" s="4" t="inlineStr">
        <x:is>
          <x:t xml:space="preserve">Comercial</x:t>
        </x:is>
      </x:c>
      <x:c r="H67" s="4" t="inlineStr">
        <x:is>
          <x:t xml:space="preserve">Encargos - CloudFast</x:t>
        </x:is>
      </x:c>
      <x:c r="I67" s="4" t="inlineStr">
        <x:is>
          <x:t xml:space="preserve">CloudFast</x:t>
        </x:is>
      </x:c>
      <x:c r="J67" s="4" t="inlineStr">
        <x:is>
          <x:t xml:space="preserve">PIX</x:t>
        </x:is>
      </x:c>
      <x:c r="K67" s="4" t="inlineStr">
        <x:is>
          <x:t xml:space="preserve">Caixa</x:t>
        </x:is>
      </x:c>
      <x:c r="L67" s="4" t="inlineStr">
        <x:is>
          <x:t xml:space="preserve">Pago</x:t>
        </x:is>
      </x:c>
      <x:c r="M67" s="13" t="n">
        <x:v>45682</x:v>
      </x:c>
      <x:c r="N67" s="13" t="n">
        <x:v>45682</x:v>
      </x:c>
      <x:c r="O67" s="14" t="n">
        <x:v>16182.05</x:v>
      </x:c>
      <x:c r="P67" s="14" t="n">
        <x:v>0</x:v>
      </x:c>
      <x:c r="Q67" s="14" t="n">
        <x:v>0</x:v>
      </x:c>
      <x:c r="R67" s="14">
        <x:f>IF(D67="Receita",O67-P67+Q67,-(O67-P67+Q67))</x:f>
        <x:v>-16182.05</x:v>
      </x:c>
      <x:c r="S67" s="4" t="inlineStr">
        <x:is>
          <x:t xml:space="preserve">Projeto Sigma</x:t>
        </x:is>
      </x:c>
      <x:c r="T67" s="4" t="inlineStr">
        <x:is>
          <x:t xml:space="preserve">Pagamento parcial</x:t>
        </x:is>
      </x:c>
    </x:row>
    <x:row r="68">
      <x:c r="A68" s="4" t="n">
        <x:v>67</x:v>
      </x:c>
      <x:c r="B68" s="13" t="n">
        <x:v>45734</x:v>
      </x:c>
      <x:c r="C68" s="4" t="inlineStr">
        <x:is>
          <x:t xml:space="preserve">2025-03</x:t>
        </x:is>
      </x:c>
      <x:c r="D68" s="4" t="inlineStr">
        <x:is>
          <x:t xml:space="preserve">Receita</x:t>
        </x:is>
      </x:c>
      <x:c r="E68" s="4" t="inlineStr">
        <x:is>
          <x:t xml:space="preserve">Outras Receitas</x:t>
        </x:is>
      </x:c>
      <x:c r="F68" s="4" t="inlineStr">
        <x:is>
          <x:t xml:space="preserve">Reembolso</x:t>
        </x:is>
      </x:c>
      <x:c r="G68" s="4" t="inlineStr">
        <x:is>
          <x:t xml:space="preserve">Comercial</x:t>
        </x:is>
      </x:c>
      <x:c r="H68" s="4" t="inlineStr">
        <x:is>
          <x:t xml:space="preserve">Reembolso - Cliente Alfa</x:t>
        </x:is>
      </x:c>
      <x:c r="I68" s="4" t="inlineStr">
        <x:is>
          <x:t xml:space="preserve">Cliente Alfa</x:t>
        </x:is>
      </x:c>
      <x:c r="J68" s="4" t="inlineStr">
        <x:is>
          <x:t xml:space="preserve">Cartão</x:t>
        </x:is>
      </x:c>
      <x:c r="K68" s="4" t="inlineStr">
        <x:is>
          <x:t xml:space="preserve">Cartão Corporativo</x:t>
        </x:is>
      </x:c>
      <x:c r="L68" s="4" t="inlineStr">
        <x:is>
          <x:t xml:space="preserve">Pendente</x:t>
        </x:is>
      </x:c>
      <x:c r="M68" s="13" t="n">
        <x:v>45748</x:v>
      </x:c>
      <x:c r="N68" s="13" t="n"/>
      <x:c r="O68" s="14" t="n">
        <x:v>29171.61</x:v>
      </x:c>
      <x:c r="P68" s="14" t="n">
        <x:v>0</x:v>
      </x:c>
      <x:c r="Q68" s="14" t="n">
        <x:v>15</x:v>
      </x:c>
      <x:c r="R68" s="14">
        <x:f>IF(D68="Receita",O68-P68+Q68,-(O68-P68+Q68))</x:f>
        <x:v>29186.61</x:v>
      </x:c>
      <x:c r="S68" s="4" t="inlineStr">
        <x:is>
          <x:t xml:space="preserve">Rotina</x:t>
        </x:is>
      </x:c>
      <x:c r="T68" s="4" t="inlineStr">
        <x:is>
          <x:t xml:space="preserve">Renovação anual</x:t>
        </x:is>
      </x:c>
    </x:row>
    <x:row r="69">
      <x:c r="A69" s="4" t="n">
        <x:v>68</x:v>
      </x:c>
      <x:c r="B69" s="13" t="n">
        <x:v>45785</x:v>
      </x:c>
      <x:c r="C69" s="4" t="inlineStr">
        <x:is>
          <x:t xml:space="preserve">2025-05</x:t>
        </x:is>
      </x:c>
      <x:c r="D69" s="4" t="inlineStr">
        <x:is>
          <x:t xml:space="preserve">Receita</x:t>
        </x:is>
      </x:c>
      <x:c r="E69" s="4" t="inlineStr">
        <x:is>
          <x:t xml:space="preserve">Outras Receitas</x:t>
        </x:is>
      </x:c>
      <x:c r="F69" s="4" t="inlineStr">
        <x:is>
          <x:t xml:space="preserve">Venda de Ativo</x:t>
        </x:is>
      </x:c>
      <x:c r="G69" s="4" t="inlineStr">
        <x:is>
          <x:t xml:space="preserve">Comercial</x:t>
        </x:is>
      </x:c>
      <x:c r="H69" s="4" t="inlineStr">
        <x:is>
          <x:t xml:space="preserve">Venda de Ativo - Cliente Beta</x:t>
        </x:is>
      </x:c>
      <x:c r="I69" s="4" t="inlineStr">
        <x:is>
          <x:t xml:space="preserve">Cliente Beta</x:t>
        </x:is>
      </x:c>
      <x:c r="J69" s="4" t="inlineStr">
        <x:is>
          <x:t xml:space="preserve">PIX</x:t>
        </x:is>
      </x:c>
      <x:c r="K69" s="4" t="inlineStr">
        <x:is>
          <x:t xml:space="preserve">Conta Investimento</x:t>
        </x:is>
      </x:c>
      <x:c r="L69" s="4" t="inlineStr">
        <x:is>
          <x:t xml:space="preserve">Pago</x:t>
        </x:is>
      </x:c>
      <x:c r="M69" s="13" t="n">
        <x:v>45799</x:v>
      </x:c>
      <x:c r="N69" s="13" t="n">
        <x:v>45799</x:v>
      </x:c>
      <x:c r="O69" s="14" t="n">
        <x:v>21843.02</x:v>
      </x:c>
      <x:c r="P69" s="14" t="n">
        <x:v>436.86</x:v>
      </x:c>
      <x:c r="Q69" s="14" t="n">
        <x:v>0</x:v>
      </x:c>
      <x:c r="R69" s="14">
        <x:f>IF(D69="Receita",O69-P69+Q69,-(O69-P69+Q69))</x:f>
        <x:v>21406.16</x:v>
      </x:c>
      <x:c r="S69" s="4" t="inlineStr">
        <x:is>
          <x:t xml:space="preserve">Rotina</x:t>
        </x:is>
      </x:c>
      <x:c r="T69" s="4" t="inlineStr">
        <x:is>
          <x:t xml:space="preserve">Renovação anual</x:t>
        </x:is>
      </x:c>
    </x:row>
    <x:row r="70">
      <x:c r="A70" s="4" t="n">
        <x:v>69</x:v>
      </x:c>
      <x:c r="B70" s="13" t="n">
        <x:v>45721</x:v>
      </x:c>
      <x:c r="C70" s="4" t="inlineStr">
        <x:is>
          <x:t xml:space="preserve">2025-03</x:t>
        </x:is>
      </x:c>
      <x:c r="D70" s="4" t="inlineStr">
        <x:is>
          <x:t xml:space="preserve">Despesa</x:t>
        </x:is>
      </x:c>
      <x:c r="E70" s="4" t="inlineStr">
        <x:is>
          <x:t xml:space="preserve">Folha</x:t>
        </x:is>
      </x:c>
      <x:c r="F70" s="4" t="inlineStr">
        <x:is>
          <x:t xml:space="preserve">Encargos</x:t>
        </x:is>
      </x:c>
      <x:c r="G70" s="4" t="inlineStr">
        <x:is>
          <x:t xml:space="preserve">Diretoria</x:t>
        </x:is>
      </x:c>
      <x:c r="H70" s="4" t="inlineStr">
        <x:is>
          <x:t xml:space="preserve">Encargos - OfficePlus</x:t>
        </x:is>
      </x:c>
      <x:c r="I70" s="4" t="inlineStr">
        <x:is>
          <x:t xml:space="preserve">OfficePlus</x:t>
        </x:is>
      </x:c>
      <x:c r="J70" s="4" t="inlineStr">
        <x:is>
          <x:t xml:space="preserve">PIX</x:t>
        </x:is>
      </x:c>
      <x:c r="K70" s="4" t="inlineStr">
        <x:is>
          <x:t xml:space="preserve">Conta Investimento</x:t>
        </x:is>
      </x:c>
      <x:c r="L70" s="4" t="inlineStr">
        <x:is>
          <x:t xml:space="preserve">Pago</x:t>
        </x:is>
      </x:c>
      <x:c r="M70" s="13" t="n">
        <x:v>45723</x:v>
      </x:c>
      <x:c r="N70" s="13" t="n">
        <x:v>45723</x:v>
      </x:c>
      <x:c r="O70" s="14" t="n">
        <x:v>5917.59</x:v>
      </x:c>
      <x:c r="P70" s="14" t="n">
        <x:v>20</x:v>
      </x:c>
      <x:c r="Q70" s="14" t="n">
        <x:v>0</x:v>
      </x:c>
      <x:c r="R70" s="14">
        <x:f>IF(D70="Receita",O70-P70+Q70,-(O70-P70+Q70))</x:f>
        <x:v>-5897.59</x:v>
      </x:c>
      <x:c r="S70" s="4" t="inlineStr">
        <x:is>
          <x:t xml:space="preserve">Projeto Aurora</x:t>
        </x:is>
      </x:c>
      <x:c r="T70" s="4" t="inlineStr">
        <x:is>
          <x:t xml:space="preserve">Contrato recorrente</x:t>
        </x:is>
      </x:c>
    </x:row>
    <x:row r="71">
      <x:c r="A71" s="4" t="n">
        <x:v>70</x:v>
      </x:c>
      <x:c r="B71" s="13" t="n">
        <x:v>45785</x:v>
      </x:c>
      <x:c r="C71" s="4" t="inlineStr">
        <x:is>
          <x:t xml:space="preserve">2025-05</x:t>
        </x:is>
      </x:c>
      <x:c r="D71" s="4" t="inlineStr">
        <x:is>
          <x:t xml:space="preserve">Despesa</x:t>
        </x:is>
      </x:c>
      <x:c r="E71" s="4" t="inlineStr">
        <x:is>
          <x:t xml:space="preserve">Operacional</x:t>
        </x:is>
      </x:c>
      <x:c r="F71" s="4" t="inlineStr">
        <x:is>
          <x:t xml:space="preserve">Frete</x:t>
        </x:is>
      </x:c>
      <x:c r="G71" s="4" t="inlineStr">
        <x:is>
          <x:t xml:space="preserve">Operações</x:t>
        </x:is>
      </x:c>
      <x:c r="H71" s="4" t="inlineStr">
        <x:is>
          <x:t xml:space="preserve">Frete - CloudFast</x:t>
        </x:is>
      </x:c>
      <x:c r="I71" s="4" t="inlineStr">
        <x:is>
          <x:t xml:space="preserve">CloudFast</x:t>
        </x:is>
      </x:c>
      <x:c r="J71" s="4" t="inlineStr">
        <x:is>
          <x:t xml:space="preserve">PIX</x:t>
        </x:is>
      </x:c>
      <x:c r="K71" s="4" t="inlineStr">
        <x:is>
          <x:t xml:space="preserve">Caixa</x:t>
        </x:is>
      </x:c>
      <x:c r="L71" s="4" t="inlineStr">
        <x:is>
          <x:t xml:space="preserve">Atrasado</x:t>
        </x:is>
      </x:c>
      <x:c r="M71" s="13" t="n">
        <x:v>45792</x:v>
      </x:c>
      <x:c r="N71" s="13" t="n"/>
      <x:c r="O71" s="14" t="n">
        <x:v>7549.78</x:v>
      </x:c>
      <x:c r="P71" s="14" t="n">
        <x:v>50</x:v>
      </x:c>
      <x:c r="Q71" s="14" t="n">
        <x:v>25</x:v>
      </x:c>
      <x:c r="R71" s="14">
        <x:f>IF(D71="Receita",O71-P71+Q71,-(O71-P71+Q71))</x:f>
        <x:v>-7524.78</x:v>
      </x:c>
      <x:c r="S71" s="4" t="inlineStr">
        <x:is>
          <x:t xml:space="preserve">Projeto Sigma</x:t>
        </x:is>
      </x:c>
      <x:c r="T71" s="4" t="inlineStr">
        <x:is>
          <x:t xml:space="preserve">Pagamento parcial</x:t>
        </x:is>
      </x:c>
    </x:row>
    <x:row r="72">
      <x:c r="A72" s="4" t="n">
        <x:v>71</x:v>
      </x:c>
      <x:c r="B72" s="13" t="n">
        <x:v>45803</x:v>
      </x:c>
      <x:c r="C72" s="4" t="inlineStr">
        <x:is>
          <x:t xml:space="preserve">2025-05</x:t>
        </x:is>
      </x:c>
      <x:c r="D72" s="4" t="inlineStr">
        <x:is>
          <x:t xml:space="preserve">Receita</x:t>
        </x:is>
      </x:c>
      <x:c r="E72" s="4" t="inlineStr">
        <x:is>
          <x:t xml:space="preserve">Receita Financeira</x:t>
        </x:is>
      </x:c>
      <x:c r="F72" s="4" t="inlineStr">
        <x:is>
          <x:t xml:space="preserve">Juros Recebidos</x:t>
        </x:is>
      </x:c>
      <x:c r="G72" s="4" t="inlineStr">
        <x:is>
          <x:t xml:space="preserve">Comercial</x:t>
        </x:is>
      </x:c>
      <x:c r="H72" s="4" t="inlineStr">
        <x:is>
          <x:t xml:space="preserve">Juros Recebidos - Cliente Beta</x:t>
        </x:is>
      </x:c>
      <x:c r="I72" s="4" t="inlineStr">
        <x:is>
          <x:t xml:space="preserve">Cliente Beta</x:t>
        </x:is>
      </x:c>
      <x:c r="J72" s="4" t="inlineStr">
        <x:is>
          <x:t xml:space="preserve">Cartão</x:t>
        </x:is>
      </x:c>
      <x:c r="K72" s="4" t="inlineStr">
        <x:is>
          <x:t xml:space="preserve">Conta Investimento</x:t>
        </x:is>
      </x:c>
      <x:c r="L72" s="4" t="inlineStr">
        <x:is>
          <x:t xml:space="preserve">Pago</x:t>
        </x:is>
      </x:c>
      <x:c r="M72" s="13" t="n">
        <x:v>45810</x:v>
      </x:c>
      <x:c r="N72" s="13" t="n">
        <x:v>45810</x:v>
      </x:c>
      <x:c r="O72" s="14" t="n">
        <x:v>16219.83</x:v>
      </x:c>
      <x:c r="P72" s="14" t="n">
        <x:v>0</x:v>
      </x:c>
      <x:c r="Q72" s="14" t="n">
        <x:v>0</x:v>
      </x:c>
      <x:c r="R72" s="14">
        <x:f>IF(D72="Receita",O72-P72+Q72,-(O72-P72+Q72))</x:f>
        <x:v>16219.83</x:v>
      </x:c>
      <x:c r="S72" s="4" t="inlineStr">
        <x:is>
          <x:t xml:space="preserve">Projeto Sigma</x:t>
        </x:is>
      </x:c>
      <x:c r="T72" s="4" t="inlineStr">
        <x:is>
          <x:t xml:space="preserve"/>
        </x:is>
      </x:c>
    </x:row>
    <x:row r="73">
      <x:c r="A73" s="4" t="n">
        <x:v>72</x:v>
      </x:c>
      <x:c r="B73" s="13" t="n">
        <x:v>45759</x:v>
      </x:c>
      <x:c r="C73" s="4" t="inlineStr">
        <x:is>
          <x:t xml:space="preserve">2025-04</x:t>
        </x:is>
      </x:c>
      <x:c r="D73" s="4" t="inlineStr">
        <x:is>
          <x:t xml:space="preserve">Receita</x:t>
        </x:is>
      </x:c>
      <x:c r="E73" s="4" t="inlineStr">
        <x:is>
          <x:t xml:space="preserve">Vendas</x:t>
        </x:is>
      </x:c>
      <x:c r="F73" s="4" t="inlineStr">
        <x:is>
          <x:t xml:space="preserve">Produto B</x:t>
        </x:is>
      </x:c>
      <x:c r="G73" s="4" t="inlineStr">
        <x:is>
          <x:t xml:space="preserve">Comercial</x:t>
        </x:is>
      </x:c>
      <x:c r="H73" s="4" t="inlineStr">
        <x:is>
          <x:t xml:space="preserve">Produto B - Cliente Alfa</x:t>
        </x:is>
      </x:c>
      <x:c r="I73" s="4" t="inlineStr">
        <x:is>
          <x:t xml:space="preserve">Cliente Alfa</x:t>
        </x:is>
      </x:c>
      <x:c r="J73" s="4" t="inlineStr">
        <x:is>
          <x:t xml:space="preserve">Boleto</x:t>
        </x:is>
      </x:c>
      <x:c r="K73" s="4" t="inlineStr">
        <x:is>
          <x:t xml:space="preserve">Cartão Corporativo</x:t>
        </x:is>
      </x:c>
      <x:c r="L73" s="4" t="inlineStr">
        <x:is>
          <x:t xml:space="preserve">Pendente</x:t>
        </x:is>
      </x:c>
      <x:c r="M73" s="13" t="n">
        <x:v>45759</x:v>
      </x:c>
      <x:c r="N73" s="13" t="n"/>
      <x:c r="O73" s="14" t="n">
        <x:v>23386.44</x:v>
      </x:c>
      <x:c r="P73" s="14" t="n">
        <x:v>0</x:v>
      </x:c>
      <x:c r="Q73" s="14" t="n">
        <x:v>0</x:v>
      </x:c>
      <x:c r="R73" s="14">
        <x:f>IF(D73="Receita",O73-P73+Q73,-(O73-P73+Q73))</x:f>
        <x:v>23386.44</x:v>
      </x:c>
      <x:c r="S73" s="4" t="inlineStr">
        <x:is>
          <x:t xml:space="preserve">Projeto Sigma</x:t>
        </x:is>
      </x:c>
      <x:c r="T73" s="4" t="inlineStr">
        <x:is>
          <x:t xml:space="preserve"/>
        </x:is>
      </x:c>
    </x:row>
    <x:row r="74">
      <x:c r="A74" s="4" t="n">
        <x:v>73</x:v>
      </x:c>
      <x:c r="B74" s="13" t="n">
        <x:v>45733</x:v>
      </x:c>
      <x:c r="C74" s="4" t="inlineStr">
        <x:is>
          <x:t xml:space="preserve">2025-03</x:t>
        </x:is>
      </x:c>
      <x:c r="D74" s="4" t="inlineStr">
        <x:is>
          <x:t xml:space="preserve">Receita</x:t>
        </x:is>
      </x:c>
      <x:c r="E74" s="4" t="inlineStr">
        <x:is>
          <x:t xml:space="preserve">Vendas</x:t>
        </x:is>
      </x:c>
      <x:c r="F74" s="4" t="inlineStr">
        <x:is>
          <x:t xml:space="preserve">Produto B</x:t>
        </x:is>
      </x:c>
      <x:c r="G74" s="4" t="inlineStr">
        <x:is>
          <x:t xml:space="preserve">Comercial</x:t>
        </x:is>
      </x:c>
      <x:c r="H74" s="4" t="inlineStr">
        <x:is>
          <x:t xml:space="preserve">Produto B - Cliente Ômega</x:t>
        </x:is>
      </x:c>
      <x:c r="I74" s="4" t="inlineStr">
        <x:is>
          <x:t xml:space="preserve">Cliente Ômega</x:t>
        </x:is>
      </x:c>
      <x:c r="J74" s="4" t="inlineStr">
        <x:is>
          <x:t xml:space="preserve">TED</x:t>
        </x:is>
      </x:c>
      <x:c r="K74" s="4" t="inlineStr">
        <x:is>
          <x:t xml:space="preserve">Caixa</x:t>
        </x:is>
      </x:c>
      <x:c r="L74" s="4" t="inlineStr">
        <x:is>
          <x:t xml:space="preserve">Atrasado</x:t>
        </x:is>
      </x:c>
      <x:c r="M74" s="13" t="n">
        <x:v>45744</x:v>
      </x:c>
      <x:c r="N74" s="13" t="n"/>
      <x:c r="O74" s="14" t="n">
        <x:v>34094.33</x:v>
      </x:c>
      <x:c r="P74" s="14" t="n">
        <x:v>0</x:v>
      </x:c>
      <x:c r="Q74" s="14" t="n">
        <x:v>0</x:v>
      </x:c>
      <x:c r="R74" s="14">
        <x:f>IF(D74="Receita",O74-P74+Q74,-(O74-P74+Q74))</x:f>
        <x:v>34094.33</x:v>
      </x:c>
      <x:c r="S74" s="4" t="inlineStr">
        <x:is>
          <x:t xml:space="preserve">Projeto Aurora</x:t>
        </x:is>
      </x:c>
      <x:c r="T74" s="4" t="inlineStr">
        <x:is>
          <x:t xml:space="preserve"/>
        </x:is>
      </x:c>
    </x:row>
    <x:row r="75">
      <x:c r="A75" s="4" t="n">
        <x:v>74</x:v>
      </x:c>
      <x:c r="B75" s="13" t="n">
        <x:v>45821</x:v>
      </x:c>
      <x:c r="C75" s="4" t="inlineStr">
        <x:is>
          <x:t xml:space="preserve">2025-06</x:t>
        </x:is>
      </x:c>
      <x:c r="D75" s="4" t="inlineStr">
        <x:is>
          <x:t xml:space="preserve">Despesa</x:t>
        </x:is>
      </x:c>
      <x:c r="E75" s="4" t="inlineStr">
        <x:is>
          <x:t xml:space="preserve">Administrativo</x:t>
        </x:is>
      </x:c>
      <x:c r="F75" s="4" t="inlineStr">
        <x:is>
          <x:t xml:space="preserve">Aluguel</x:t>
        </x:is>
      </x:c>
      <x:c r="G75" s="4" t="inlineStr">
        <x:is>
          <x:t xml:space="preserve">Comercial</x:t>
        </x:is>
      </x:c>
      <x:c r="H75" s="4" t="inlineStr">
        <x:is>
          <x:t xml:space="preserve">Aluguel - CloudFast</x:t>
        </x:is>
      </x:c>
      <x:c r="I75" s="4" t="inlineStr">
        <x:is>
          <x:t xml:space="preserve">CloudFast</x:t>
        </x:is>
      </x:c>
      <x:c r="J75" s="4" t="inlineStr">
        <x:is>
          <x:t xml:space="preserve">PIX</x:t>
        </x:is>
      </x:c>
      <x:c r="K75" s="4" t="inlineStr">
        <x:is>
          <x:t xml:space="preserve">Conta Investimento</x:t>
        </x:is>
      </x:c>
      <x:c r="L75" s="4" t="inlineStr">
        <x:is>
          <x:t xml:space="preserve">Pago</x:t>
        </x:is>
      </x:c>
      <x:c r="M75" s="13" t="n">
        <x:v>45827</x:v>
      </x:c>
      <x:c r="N75" s="13" t="n">
        <x:v>45827</x:v>
      </x:c>
      <x:c r="O75" s="14" t="n">
        <x:v>6687.26</x:v>
      </x:c>
      <x:c r="P75" s="14" t="n">
        <x:v>0</x:v>
      </x:c>
      <x:c r="Q75" s="14" t="n">
        <x:v>0</x:v>
      </x:c>
      <x:c r="R75" s="14">
        <x:f>IF(D75="Receita",O75-P75+Q75,-(O75-P75+Q75))</x:f>
        <x:v>-6687.26</x:v>
      </x:c>
      <x:c r="S75" s="4" t="inlineStr">
        <x:is>
          <x:t xml:space="preserve">Projeto Aurora</x:t>
        </x:is>
      </x:c>
      <x:c r="T75" s="4" t="inlineStr">
        <x:is>
          <x:t xml:space="preserve">Pagamento parcial</x:t>
        </x:is>
      </x:c>
    </x:row>
    <x:row r="76">
      <x:c r="A76" s="4" t="n">
        <x:v>75</x:v>
      </x:c>
      <x:c r="B76" s="13" t="n">
        <x:v>45762</x:v>
      </x:c>
      <x:c r="C76" s="4" t="inlineStr">
        <x:is>
          <x:t xml:space="preserve">2025-04</x:t>
        </x:is>
      </x:c>
      <x:c r="D76" s="4" t="inlineStr">
        <x:is>
          <x:t xml:space="preserve">Despesa</x:t>
        </x:is>
      </x:c>
      <x:c r="E76" s="4" t="inlineStr">
        <x:is>
          <x:t xml:space="preserve">Marketing</x:t>
        </x:is>
      </x:c>
      <x:c r="F76" s="4" t="inlineStr">
        <x:is>
          <x:t xml:space="preserve">Design</x:t>
        </x:is>
      </x:c>
      <x:c r="G76" s="4" t="inlineStr">
        <x:is>
          <x:t xml:space="preserve">Comercial</x:t>
        </x:is>
      </x:c>
      <x:c r="H76" s="4" t="inlineStr">
        <x:is>
          <x:t xml:space="preserve">Design - ContaFácil</x:t>
        </x:is>
      </x:c>
      <x:c r="I76" s="4" t="inlineStr">
        <x:is>
          <x:t xml:space="preserve">ContaFácil</x:t>
        </x:is>
      </x:c>
      <x:c r="J76" s="4" t="inlineStr">
        <x:is>
          <x:t xml:space="preserve">TED</x:t>
        </x:is>
      </x:c>
      <x:c r="K76" s="4" t="inlineStr">
        <x:is>
          <x:t xml:space="preserve">Banco Principal</x:t>
        </x:is>
      </x:c>
      <x:c r="L76" s="4" t="inlineStr">
        <x:is>
          <x:t xml:space="preserve">Pago</x:t>
        </x:is>
      </x:c>
      <x:c r="M76" s="13" t="n">
        <x:v>45777</x:v>
      </x:c>
      <x:c r="N76" s="13" t="n">
        <x:v>45777</x:v>
      </x:c>
      <x:c r="O76" s="14" t="n">
        <x:v>3725.07</x:v>
      </x:c>
      <x:c r="P76" s="14" t="n">
        <x:v>20</x:v>
      </x:c>
      <x:c r="Q76" s="14" t="n">
        <x:v>10</x:v>
      </x:c>
      <x:c r="R76" s="14">
        <x:f>IF(D76="Receita",O76-P76+Q76,-(O76-P76+Q76))</x:f>
        <x:v>-3715.07</x:v>
      </x:c>
      <x:c r="S76" s="4" t="inlineStr">
        <x:is>
          <x:t xml:space="preserve">Rotina</x:t>
        </x:is>
      </x:c>
      <x:c r="T76" s="4" t="inlineStr">
        <x:is>
          <x:t xml:space="preserve">Sem observações</x:t>
        </x:is>
      </x:c>
    </x:row>
    <x:row r="77">
      <x:c r="A77" s="4" t="n">
        <x:v>76</x:v>
      </x:c>
      <x:c r="B77" s="13" t="n">
        <x:v>45798</x:v>
      </x:c>
      <x:c r="C77" s="4" t="inlineStr">
        <x:is>
          <x:t xml:space="preserve">2025-05</x:t>
        </x:is>
      </x:c>
      <x:c r="D77" s="4" t="inlineStr">
        <x:is>
          <x:t xml:space="preserve">Receita</x:t>
        </x:is>
      </x:c>
      <x:c r="E77" s="4" t="inlineStr">
        <x:is>
          <x:t xml:space="preserve">Outras Receitas</x:t>
        </x:is>
      </x:c>
      <x:c r="F77" s="4" t="inlineStr">
        <x:is>
          <x:t xml:space="preserve">Reembolso</x:t>
        </x:is>
      </x:c>
      <x:c r="G77" s="4" t="inlineStr">
        <x:is>
          <x:t xml:space="preserve">Comercial</x:t>
        </x:is>
      </x:c>
      <x:c r="H77" s="4" t="inlineStr">
        <x:is>
          <x:t xml:space="preserve">Reembolso - Cliente Beta</x:t>
        </x:is>
      </x:c>
      <x:c r="I77" s="4" t="inlineStr">
        <x:is>
          <x:t xml:space="preserve">Cliente Beta</x:t>
        </x:is>
      </x:c>
      <x:c r="J77" s="4" t="inlineStr">
        <x:is>
          <x:t xml:space="preserve">TED</x:t>
        </x:is>
      </x:c>
      <x:c r="K77" s="4" t="inlineStr">
        <x:is>
          <x:t xml:space="preserve">Banco Principal</x:t>
        </x:is>
      </x:c>
      <x:c r="L77" s="4" t="inlineStr">
        <x:is>
          <x:t xml:space="preserve">Pago</x:t>
        </x:is>
      </x:c>
      <x:c r="M77" s="13" t="n">
        <x:v>45807</x:v>
      </x:c>
      <x:c r="N77" s="13" t="n">
        <x:v>45807</x:v>
      </x:c>
      <x:c r="O77" s="14" t="n">
        <x:v>14825.37</x:v>
      </x:c>
      <x:c r="P77" s="14" t="n">
        <x:v>296.51</x:v>
      </x:c>
      <x:c r="Q77" s="14" t="n">
        <x:v>15</x:v>
      </x:c>
      <x:c r="R77" s="14">
        <x:f>IF(D77="Receita",O77-P77+Q77,-(O77-P77+Q77))</x:f>
        <x:v>14543.86</x:v>
      </x:c>
      <x:c r="S77" s="4" t="inlineStr">
        <x:is>
          <x:t xml:space="preserve">Projeto Sigma</x:t>
        </x:is>
      </x:c>
      <x:c r="T77" s="4" t="inlineStr">
        <x:is>
          <x:t xml:space="preserve">Sem observações</x:t>
        </x:is>
      </x:c>
    </x:row>
    <x:row r="78">
      <x:c r="A78" s="4" t="n">
        <x:v>77</x:v>
      </x:c>
      <x:c r="B78" s="13" t="n">
        <x:v>45803</x:v>
      </x:c>
      <x:c r="C78" s="4" t="inlineStr">
        <x:is>
          <x:t xml:space="preserve">2025-05</x:t>
        </x:is>
      </x:c>
      <x:c r="D78" s="4" t="inlineStr">
        <x:is>
          <x:t xml:space="preserve">Despesa</x:t>
        </x:is>
      </x:c>
      <x:c r="E78" s="4" t="inlineStr">
        <x:is>
          <x:t xml:space="preserve">Operacional</x:t>
        </x:is>
      </x:c>
      <x:c r="F78" s="4" t="inlineStr">
        <x:is>
          <x:t xml:space="preserve">Manutenção</x:t>
        </x:is>
      </x:c>
      <x:c r="G78" s="4" t="inlineStr">
        <x:is>
          <x:t xml:space="preserve">Backoffice</x:t>
        </x:is>
      </x:c>
      <x:c r="H78" s="4" t="inlineStr">
        <x:is>
          <x:t xml:space="preserve">Manutenção - Fornecedor Nexus</x:t>
        </x:is>
      </x:c>
      <x:c r="I78" s="4" t="inlineStr">
        <x:is>
          <x:t xml:space="preserve">Fornecedor Nexus</x:t>
        </x:is>
      </x:c>
      <x:c r="J78" s="4" t="inlineStr">
        <x:is>
          <x:t xml:space="preserve">PIX</x:t>
        </x:is>
      </x:c>
      <x:c r="K78" s="4" t="inlineStr">
        <x:is>
          <x:t xml:space="preserve">Cartão Corporativo</x:t>
        </x:is>
      </x:c>
      <x:c r="L78" s="4" t="inlineStr">
        <x:is>
          <x:t xml:space="preserve">Pago</x:t>
        </x:is>
      </x:c>
      <x:c r="M78" s="13" t="n">
        <x:v>45815</x:v>
      </x:c>
      <x:c r="N78" s="13" t="n">
        <x:v>45815</x:v>
      </x:c>
      <x:c r="O78" s="14" t="n">
        <x:v>11629.05</x:v>
      </x:c>
      <x:c r="P78" s="14" t="n">
        <x:v>20</x:v>
      </x:c>
      <x:c r="Q78" s="14" t="n">
        <x:v>25</x:v>
      </x:c>
      <x:c r="R78" s="14">
        <x:f>IF(D78="Receita",O78-P78+Q78,-(O78-P78+Q78))</x:f>
        <x:v>-11634.05</x:v>
      </x:c>
      <x:c r="S78" s="4" t="inlineStr">
        <x:is>
          <x:t xml:space="preserve">Projeto Atlas</x:t>
        </x:is>
      </x:c>
      <x:c r="T78" s="4" t="inlineStr">
        <x:is>
          <x:t xml:space="preserve">Contrato recorrente</x:t>
        </x:is>
      </x:c>
    </x:row>
    <x:row r="79">
      <x:c r="A79" s="4" t="n">
        <x:v>78</x:v>
      </x:c>
      <x:c r="B79" s="13" t="n">
        <x:v>45687</x:v>
      </x:c>
      <x:c r="C79" s="4" t="inlineStr">
        <x:is>
          <x:t xml:space="preserve">2025-01</x:t>
        </x:is>
      </x:c>
      <x:c r="D79" s="4" t="inlineStr">
        <x:is>
          <x:t xml:space="preserve">Despesa</x:t>
        </x:is>
      </x:c>
      <x:c r="E79" s="4" t="inlineStr">
        <x:is>
          <x:t xml:space="preserve">Operacional</x:t>
        </x:is>
      </x:c>
      <x:c r="F79" s="4" t="inlineStr">
        <x:is>
          <x:t xml:space="preserve">Material de Escritório</x:t>
        </x:is>
      </x:c>
      <x:c r="G79" s="4" t="inlineStr">
        <x:is>
          <x:t xml:space="preserve">TI</x:t>
        </x:is>
      </x:c>
      <x:c r="H79" s="4" t="inlineStr">
        <x:is>
          <x:t xml:space="preserve">Material de Escritório - ContaFácil</x:t>
        </x:is>
      </x:c>
      <x:c r="I79" s="4" t="inlineStr">
        <x:is>
          <x:t xml:space="preserve">ContaFácil</x:t>
        </x:is>
      </x:c>
      <x:c r="J79" s="4" t="inlineStr">
        <x:is>
          <x:t xml:space="preserve">PIX</x:t>
        </x:is>
      </x:c>
      <x:c r="K79" s="4" t="inlineStr">
        <x:is>
          <x:t xml:space="preserve">Caixa</x:t>
        </x:is>
      </x:c>
      <x:c r="L79" s="4" t="inlineStr">
        <x:is>
          <x:t xml:space="preserve">Atrasado</x:t>
        </x:is>
      </x:c>
      <x:c r="M79" s="13" t="n">
        <x:v>45688</x:v>
      </x:c>
      <x:c r="N79" s="13" t="n">
        <x:v>45701</x:v>
      </x:c>
      <x:c r="O79" s="14" t="n">
        <x:v>13933.14</x:v>
      </x:c>
      <x:c r="P79" s="14" t="n">
        <x:v>0</x:v>
      </x:c>
      <x:c r="Q79" s="14" t="n">
        <x:v>0</x:v>
      </x:c>
      <x:c r="R79" s="14">
        <x:f>IF(D79="Receita",O79-P79+Q79,-(O79-P79+Q79))</x:f>
        <x:v>-13933.14</x:v>
      </x:c>
      <x:c r="S79" s="4" t="inlineStr">
        <x:is>
          <x:t xml:space="preserve">Expansão</x:t>
        </x:is>
      </x:c>
      <x:c r="T79" s="4" t="inlineStr">
        <x:is>
          <x:t xml:space="preserve">Renovação anual</x:t>
        </x:is>
      </x:c>
    </x:row>
    <x:row r="80">
      <x:c r="A80" s="4" t="n">
        <x:v>79</x:v>
      </x:c>
      <x:c r="B80" s="13" t="n">
        <x:v>45695</x:v>
      </x:c>
      <x:c r="C80" s="4" t="inlineStr">
        <x:is>
          <x:t xml:space="preserve">2025-02</x:t>
        </x:is>
      </x:c>
      <x:c r="D80" s="4" t="inlineStr">
        <x:is>
          <x:t xml:space="preserve">Despesa</x:t>
        </x:is>
      </x:c>
      <x:c r="E80" s="4" t="inlineStr">
        <x:is>
          <x:t xml:space="preserve">Marketing</x:t>
        </x:is>
      </x:c>
      <x:c r="F80" s="4" t="inlineStr">
        <x:is>
          <x:t xml:space="preserve">Design</x:t>
        </x:is>
      </x:c>
      <x:c r="G80" s="4" t="inlineStr">
        <x:is>
          <x:t xml:space="preserve">Comercial</x:t>
        </x:is>
      </x:c>
      <x:c r="H80" s="4" t="inlineStr">
        <x:is>
          <x:t xml:space="preserve">Design - CloudFast</x:t>
        </x:is>
      </x:c>
      <x:c r="I80" s="4" t="inlineStr">
        <x:is>
          <x:t xml:space="preserve">CloudFast</x:t>
        </x:is>
      </x:c>
      <x:c r="J80" s="4" t="inlineStr">
        <x:is>
          <x:t xml:space="preserve">Boleto</x:t>
        </x:is>
      </x:c>
      <x:c r="K80" s="4" t="inlineStr">
        <x:is>
          <x:t xml:space="preserve">Banco Principal</x:t>
        </x:is>
      </x:c>
      <x:c r="L80" s="4" t="inlineStr">
        <x:is>
          <x:t xml:space="preserve">Pago</x:t>
        </x:is>
      </x:c>
      <x:c r="M80" s="13" t="n">
        <x:v>45701</x:v>
      </x:c>
      <x:c r="N80" s="13" t="n">
        <x:v>45701</x:v>
      </x:c>
      <x:c r="O80" s="14" t="n">
        <x:v>2029.57</x:v>
      </x:c>
      <x:c r="P80" s="14" t="n">
        <x:v>20</x:v>
      </x:c>
      <x:c r="Q80" s="14" t="n">
        <x:v>40</x:v>
      </x:c>
      <x:c r="R80" s="14">
        <x:f>IF(D80="Receita",O80-P80+Q80,-(O80-P80+Q80))</x:f>
        <x:v>-2049.5699999999997</x:v>
      </x:c>
      <x:c r="S80" s="4" t="inlineStr">
        <x:is>
          <x:t xml:space="preserve">Rotina</x:t>
        </x:is>
      </x:c>
      <x:c r="T80" s="4" t="inlineStr">
        <x:is>
          <x:t xml:space="preserve">Pagamento parcial</x:t>
        </x:is>
      </x:c>
    </x:row>
    <x:row r="81">
      <x:c r="A81" s="4" t="n">
        <x:v>80</x:v>
      </x:c>
      <x:c r="B81" s="13" t="n">
        <x:v>45671</x:v>
      </x:c>
      <x:c r="C81" s="4" t="inlineStr">
        <x:is>
          <x:t xml:space="preserve">2025-01</x:t>
        </x:is>
      </x:c>
      <x:c r="D81" s="4" t="inlineStr">
        <x:is>
          <x:t xml:space="preserve">Despesa</x:t>
        </x:is>
      </x:c>
      <x:c r="E81" s="4" t="inlineStr">
        <x:is>
          <x:t xml:space="preserve">Operacional</x:t>
        </x:is>
      </x:c>
      <x:c r="F81" s="4" t="inlineStr">
        <x:is>
          <x:t xml:space="preserve">Frete</x:t>
        </x:is>
      </x:c>
      <x:c r="G81" s="4" t="inlineStr">
        <x:is>
          <x:t xml:space="preserve">Diretoria</x:t>
        </x:is>
      </x:c>
      <x:c r="H81" s="4" t="inlineStr">
        <x:is>
          <x:t xml:space="preserve">Frete - EnergiaSul</x:t>
        </x:is>
      </x:c>
      <x:c r="I81" s="4" t="inlineStr">
        <x:is>
          <x:t xml:space="preserve">EnergiaSul</x:t>
        </x:is>
      </x:c>
      <x:c r="J81" s="4" t="inlineStr">
        <x:is>
          <x:t xml:space="preserve">TED</x:t>
        </x:is>
      </x:c>
      <x:c r="K81" s="4" t="inlineStr">
        <x:is>
          <x:t xml:space="preserve">Conta Investimento</x:t>
        </x:is>
      </x:c>
      <x:c r="L81" s="4" t="inlineStr">
        <x:is>
          <x:t xml:space="preserve">Atrasado</x:t>
        </x:is>
      </x:c>
      <x:c r="M81" s="13" t="n">
        <x:v>45678</x:v>
      </x:c>
      <x:c r="N81" s="13" t="n">
        <x:v>45685</x:v>
      </x:c>
      <x:c r="O81" s="14" t="n">
        <x:v>12412.84</x:v>
      </x:c>
      <x:c r="P81" s="14" t="n">
        <x:v>0</x:v>
      </x:c>
      <x:c r="Q81" s="14" t="n">
        <x:v>25</x:v>
      </x:c>
      <x:c r="R81" s="14">
        <x:f>IF(D81="Receita",O81-P81+Q81,-(O81-P81+Q81))</x:f>
        <x:v>-12437.84</x:v>
      </x:c>
      <x:c r="S81" s="4" t="inlineStr">
        <x:is>
          <x:t xml:space="preserve">Expansão</x:t>
        </x:is>
      </x:c>
      <x:c r="T81" s="4" t="inlineStr">
        <x:is>
          <x:t xml:space="preserve">Renovação anual</x:t>
        </x:is>
      </x:c>
    </x:row>
    <x:row r="82">
      <x:c r="A82" s="4" t="n">
        <x:v>81</x:v>
      </x:c>
      <x:c r="B82" s="13" t="n">
        <x:v>45668</x:v>
      </x:c>
      <x:c r="C82" s="4" t="inlineStr">
        <x:is>
          <x:t xml:space="preserve">2025-01</x:t>
        </x:is>
      </x:c>
      <x:c r="D82" s="4" t="inlineStr">
        <x:is>
          <x:t xml:space="preserve">Despesa</x:t>
        </x:is>
      </x:c>
      <x:c r="E82" s="4" t="inlineStr">
        <x:is>
          <x:t xml:space="preserve">Administrativo</x:t>
        </x:is>
      </x:c>
      <x:c r="F82" s="4" t="inlineStr">
        <x:is>
          <x:t xml:space="preserve">Jurídico</x:t>
        </x:is>
      </x:c>
      <x:c r="G82" s="4" t="inlineStr">
        <x:is>
          <x:t xml:space="preserve">Backoffice</x:t>
        </x:is>
      </x:c>
      <x:c r="H82" s="4" t="inlineStr">
        <x:is>
          <x:t xml:space="preserve">Jurídico - MídiaPro</x:t>
        </x:is>
      </x:c>
      <x:c r="I82" s="4" t="inlineStr">
        <x:is>
          <x:t xml:space="preserve">MídiaPro</x:t>
        </x:is>
      </x:c>
      <x:c r="J82" s="4" t="inlineStr">
        <x:is>
          <x:t xml:space="preserve">PIX</x:t>
        </x:is>
      </x:c>
      <x:c r="K82" s="4" t="inlineStr">
        <x:is>
          <x:t xml:space="preserve">Caixa</x:t>
        </x:is>
      </x:c>
      <x:c r="L82" s="4" t="inlineStr">
        <x:is>
          <x:t xml:space="preserve">Pago</x:t>
        </x:is>
      </x:c>
      <x:c r="M82" s="13" t="n">
        <x:v>45674</x:v>
      </x:c>
      <x:c r="N82" s="13" t="n">
        <x:v>45674</x:v>
      </x:c>
      <x:c r="O82" s="14" t="n">
        <x:v>2285.18</x:v>
      </x:c>
      <x:c r="P82" s="14" t="n">
        <x:v>0</x:v>
      </x:c>
      <x:c r="Q82" s="14" t="n">
        <x:v>25</x:v>
      </x:c>
      <x:c r="R82" s="14">
        <x:f>IF(D82="Receita",O82-P82+Q82,-(O82-P82+Q82))</x:f>
        <x:v>-2310.18</x:v>
      </x:c>
      <x:c r="S82" s="4" t="inlineStr">
        <x:is>
          <x:t xml:space="preserve">Projeto Aurora</x:t>
        </x:is>
      </x:c>
      <x:c r="T82" s="4" t="inlineStr">
        <x:is>
          <x:t xml:space="preserve">Contrato recorrente</x:t>
        </x:is>
      </x:c>
    </x:row>
    <x:row r="83">
      <x:c r="A83" s="4" t="n">
        <x:v>82</x:v>
      </x:c>
      <x:c r="B83" s="13" t="n">
        <x:v>45811</x:v>
      </x:c>
      <x:c r="C83" s="4" t="inlineStr">
        <x:is>
          <x:t xml:space="preserve">2025-06</x:t>
        </x:is>
      </x:c>
      <x:c r="D83" s="4" t="inlineStr">
        <x:is>
          <x:t xml:space="preserve">Despesa</x:t>
        </x:is>
      </x:c>
      <x:c r="E83" s="4" t="inlineStr">
        <x:is>
          <x:t xml:space="preserve">Tecnologia</x:t>
        </x:is>
      </x:c>
      <x:c r="F83" s="4" t="inlineStr">
        <x:is>
          <x:t xml:space="preserve">Equipamentos</x:t>
        </x:is>
      </x:c>
      <x:c r="G83" s="4" t="inlineStr">
        <x:is>
          <x:t xml:space="preserve">Backoffice</x:t>
        </x:is>
      </x:c>
      <x:c r="H83" s="4" t="inlineStr">
        <x:is>
          <x:t xml:space="preserve">Equipamentos - MídiaPro</x:t>
        </x:is>
      </x:c>
      <x:c r="I83" s="4" t="inlineStr">
        <x:is>
          <x:t xml:space="preserve">MídiaPro</x:t>
        </x:is>
      </x:c>
      <x:c r="J83" s="4" t="inlineStr">
        <x:is>
          <x:t xml:space="preserve">TED</x:t>
        </x:is>
      </x:c>
      <x:c r="K83" s="4" t="inlineStr">
        <x:is>
          <x:t xml:space="preserve">Conta Investimento</x:t>
        </x:is>
      </x:c>
      <x:c r="L83" s="4" t="inlineStr">
        <x:is>
          <x:t xml:space="preserve">Pendente</x:t>
        </x:is>
      </x:c>
      <x:c r="M83" s="13" t="n">
        <x:v>45822</x:v>
      </x:c>
      <x:c r="N83" s="13" t="n"/>
      <x:c r="O83" s="14" t="n">
        <x:v>10520.63</x:v>
      </x:c>
      <x:c r="P83" s="14" t="n">
        <x:v>20</x:v>
      </x:c>
      <x:c r="Q83" s="14" t="n">
        <x:v>0</x:v>
      </x:c>
      <x:c r="R83" s="14">
        <x:f>IF(D83="Receita",O83-P83+Q83,-(O83-P83+Q83))</x:f>
        <x:v>-10500.63</x:v>
      </x:c>
      <x:c r="S83" s="4" t="inlineStr">
        <x:is>
          <x:t xml:space="preserve">Projeto Aurora</x:t>
        </x:is>
      </x:c>
      <x:c r="T83" s="4" t="inlineStr">
        <x:is>
          <x:t xml:space="preserve"/>
        </x:is>
      </x:c>
    </x:row>
    <x:row r="84">
      <x:c r="A84" s="4" t="n">
        <x:v>83</x:v>
      </x:c>
      <x:c r="B84" s="13" t="n">
        <x:v>45816</x:v>
      </x:c>
      <x:c r="C84" s="4" t="inlineStr">
        <x:is>
          <x:t xml:space="preserve">2025-06</x:t>
        </x:is>
      </x:c>
      <x:c r="D84" s="4" t="inlineStr">
        <x:is>
          <x:t xml:space="preserve">Despesa</x:t>
        </x:is>
      </x:c>
      <x:c r="E84" s="4" t="inlineStr">
        <x:is>
          <x:t xml:space="preserve">Operacional</x:t>
        </x:is>
      </x:c>
      <x:c r="F84" s="4" t="inlineStr">
        <x:is>
          <x:t xml:space="preserve">Frete</x:t>
        </x:is>
      </x:c>
      <x:c r="G84" s="4" t="inlineStr">
        <x:is>
          <x:t xml:space="preserve">Diretoria</x:t>
        </x:is>
      </x:c>
      <x:c r="H84" s="4" t="inlineStr">
        <x:is>
          <x:t xml:space="preserve">Frete - MídiaPro</x:t>
        </x:is>
      </x:c>
      <x:c r="I84" s="4" t="inlineStr">
        <x:is>
          <x:t xml:space="preserve">MídiaPro</x:t>
        </x:is>
      </x:c>
      <x:c r="J84" s="4" t="inlineStr">
        <x:is>
          <x:t xml:space="preserve">TED</x:t>
        </x:is>
      </x:c>
      <x:c r="K84" s="4" t="inlineStr">
        <x:is>
          <x:t xml:space="preserve">Banco Principal</x:t>
        </x:is>
      </x:c>
      <x:c r="L84" s="4" t="inlineStr">
        <x:is>
          <x:t xml:space="preserve">Pendente</x:t>
        </x:is>
      </x:c>
      <x:c r="M84" s="13" t="n">
        <x:v>45821</x:v>
      </x:c>
      <x:c r="N84" s="13" t="n"/>
      <x:c r="O84" s="14" t="n">
        <x:v>14057.15</x:v>
      </x:c>
      <x:c r="P84" s="14" t="n">
        <x:v>20</x:v>
      </x:c>
      <x:c r="Q84" s="14" t="n">
        <x:v>40</x:v>
      </x:c>
      <x:c r="R84" s="14">
        <x:f>IF(D84="Receita",O84-P84+Q84,-(O84-P84+Q84))</x:f>
        <x:v>-14077.15</x:v>
      </x:c>
      <x:c r="S84" s="4" t="inlineStr">
        <x:is>
          <x:t xml:space="preserve">Projeto Aurora</x:t>
        </x:is>
      </x:c>
      <x:c r="T84" s="4" t="inlineStr">
        <x:is>
          <x:t xml:space="preserve">Renovação anual</x:t>
        </x:is>
      </x:c>
    </x:row>
    <x:row r="85">
      <x:c r="A85" s="4" t="n">
        <x:v>84</x:v>
      </x:c>
      <x:c r="B85" s="13" t="n">
        <x:v>45749</x:v>
      </x:c>
      <x:c r="C85" s="4" t="inlineStr">
        <x:is>
          <x:t xml:space="preserve">2025-04</x:t>
        </x:is>
      </x:c>
      <x:c r="D85" s="4" t="inlineStr">
        <x:is>
          <x:t xml:space="preserve">Despesa</x:t>
        </x:is>
      </x:c>
      <x:c r="E85" s="4" t="inlineStr">
        <x:is>
          <x:t xml:space="preserve">Folha</x:t>
        </x:is>
      </x:c>
      <x:c r="F85" s="4" t="inlineStr">
        <x:is>
          <x:t xml:space="preserve">Encargos</x:t>
        </x:is>
      </x:c>
      <x:c r="G85" s="4" t="inlineStr">
        <x:is>
          <x:t xml:space="preserve">Diretoria</x:t>
        </x:is>
      </x:c>
      <x:c r="H85" s="4" t="inlineStr">
        <x:is>
          <x:t xml:space="preserve">Encargos - OfficePlus</x:t>
        </x:is>
      </x:c>
      <x:c r="I85" s="4" t="inlineStr">
        <x:is>
          <x:t xml:space="preserve">OfficePlus</x:t>
        </x:is>
      </x:c>
      <x:c r="J85" s="4" t="inlineStr">
        <x:is>
          <x:t xml:space="preserve">Cartão</x:t>
        </x:is>
      </x:c>
      <x:c r="K85" s="4" t="inlineStr">
        <x:is>
          <x:t xml:space="preserve">Banco Principal</x:t>
        </x:is>
      </x:c>
      <x:c r="L85" s="4" t="inlineStr">
        <x:is>
          <x:t xml:space="preserve">Pago</x:t>
        </x:is>
      </x:c>
      <x:c r="M85" s="13" t="n">
        <x:v>45753</x:v>
      </x:c>
      <x:c r="N85" s="13" t="n">
        <x:v>45753</x:v>
      </x:c>
      <x:c r="O85" s="14" t="n">
        <x:v>11855.16</x:v>
      </x:c>
      <x:c r="P85" s="14" t="n">
        <x:v>0</x:v>
      </x:c>
      <x:c r="Q85" s="14" t="n">
        <x:v>25</x:v>
      </x:c>
      <x:c r="R85" s="14">
        <x:f>IF(D85="Receita",O85-P85+Q85,-(O85-P85+Q85))</x:f>
        <x:v>-11880.16</x:v>
      </x:c>
      <x:c r="S85" s="4" t="inlineStr">
        <x:is>
          <x:t xml:space="preserve">Projeto Aurora</x:t>
        </x:is>
      </x:c>
      <x:c r="T85" s="4" t="inlineStr">
        <x:is>
          <x:t xml:space="preserve">Ajuste financeiro</x:t>
        </x:is>
      </x:c>
    </x:row>
    <x:row r="86">
      <x:c r="A86" s="4" t="n">
        <x:v>85</x:v>
      </x:c>
      <x:c r="B86" s="13" t="n">
        <x:v>45754</x:v>
      </x:c>
      <x:c r="C86" s="4" t="inlineStr">
        <x:is>
          <x:t xml:space="preserve">2025-04</x:t>
        </x:is>
      </x:c>
      <x:c r="D86" s="4" t="inlineStr">
        <x:is>
          <x:t xml:space="preserve">Despesa</x:t>
        </x:is>
      </x:c>
      <x:c r="E86" s="4" t="inlineStr">
        <x:is>
          <x:t xml:space="preserve">Marketing</x:t>
        </x:is>
      </x:c>
      <x:c r="F86" s="4" t="inlineStr">
        <x:is>
          <x:t xml:space="preserve">Anúncios</x:t>
        </x:is>
      </x:c>
      <x:c r="G86" s="4" t="inlineStr">
        <x:is>
          <x:t xml:space="preserve">Diretoria</x:t>
        </x:is>
      </x:c>
      <x:c r="H86" s="4" t="inlineStr">
        <x:is>
          <x:t xml:space="preserve">Anúncios - Fornecedor Nexus</x:t>
        </x:is>
      </x:c>
      <x:c r="I86" s="4" t="inlineStr">
        <x:is>
          <x:t xml:space="preserve">Fornecedor Nexus</x:t>
        </x:is>
      </x:c>
      <x:c r="J86" s="4" t="inlineStr">
        <x:is>
          <x:t xml:space="preserve">Cartão</x:t>
        </x:is>
      </x:c>
      <x:c r="K86" s="4" t="inlineStr">
        <x:is>
          <x:t xml:space="preserve">Conta Investimento</x:t>
        </x:is>
      </x:c>
      <x:c r="L86" s="4" t="inlineStr">
        <x:is>
          <x:t xml:space="preserve">Pendente</x:t>
        </x:is>
      </x:c>
      <x:c r="M86" s="13" t="n">
        <x:v>45758</x:v>
      </x:c>
      <x:c r="N86" s="13" t="n"/>
      <x:c r="O86" s="14" t="n">
        <x:v>13198.95</x:v>
      </x:c>
      <x:c r="P86" s="14" t="n">
        <x:v>0</x:v>
      </x:c>
      <x:c r="Q86" s="14" t="n">
        <x:v>0</x:v>
      </x:c>
      <x:c r="R86" s="14">
        <x:f>IF(D86="Receita",O86-P86+Q86,-(O86-P86+Q86))</x:f>
        <x:v>-13198.95</x:v>
      </x:c>
      <x:c r="S86" s="4" t="inlineStr">
        <x:is>
          <x:t xml:space="preserve">Projeto Atlas</x:t>
        </x:is>
      </x:c>
      <x:c r="T86" s="4" t="inlineStr">
        <x:is>
          <x:t xml:space="preserve"/>
        </x:is>
      </x:c>
    </x:row>
    <x:row r="87">
      <x:c r="A87" s="4" t="n">
        <x:v>86</x:v>
      </x:c>
      <x:c r="B87" s="13" t="n">
        <x:v>45747</x:v>
      </x:c>
      <x:c r="C87" s="4" t="inlineStr">
        <x:is>
          <x:t xml:space="preserve">2025-03</x:t>
        </x:is>
      </x:c>
      <x:c r="D87" s="4" t="inlineStr">
        <x:is>
          <x:t xml:space="preserve">Despesa</x:t>
        </x:is>
      </x:c>
      <x:c r="E87" s="4" t="inlineStr">
        <x:is>
          <x:t xml:space="preserve">Tecnologia</x:t>
        </x:is>
      </x:c>
      <x:c r="F87" s="4" t="inlineStr">
        <x:is>
          <x:t xml:space="preserve">Cloud</x:t>
        </x:is>
      </x:c>
      <x:c r="G87" s="4" t="inlineStr">
        <x:is>
          <x:t xml:space="preserve">Diretoria</x:t>
        </x:is>
      </x:c>
      <x:c r="H87" s="4" t="inlineStr">
        <x:is>
          <x:t xml:space="preserve">Cloud - ContaFácil</x:t>
        </x:is>
      </x:c>
      <x:c r="I87" s="4" t="inlineStr">
        <x:is>
          <x:t xml:space="preserve">ContaFácil</x:t>
        </x:is>
      </x:c>
      <x:c r="J87" s="4" t="inlineStr">
        <x:is>
          <x:t xml:space="preserve">TED</x:t>
        </x:is>
      </x:c>
      <x:c r="K87" s="4" t="inlineStr">
        <x:is>
          <x:t xml:space="preserve">Conta Investimento</x:t>
        </x:is>
      </x:c>
      <x:c r="L87" s="4" t="inlineStr">
        <x:is>
          <x:t xml:space="preserve">Atrasado</x:t>
        </x:is>
      </x:c>
      <x:c r="M87" s="13" t="n">
        <x:v>45755</x:v>
      </x:c>
      <x:c r="N87" s="13" t="n"/>
      <x:c r="O87" s="14" t="n">
        <x:v>5007.87</x:v>
      </x:c>
      <x:c r="P87" s="14" t="n">
        <x:v>20</x:v>
      </x:c>
      <x:c r="Q87" s="14" t="n">
        <x:v>0</x:v>
      </x:c>
      <x:c r="R87" s="14">
        <x:f>IF(D87="Receita",O87-P87+Q87,-(O87-P87+Q87))</x:f>
        <x:v>-4987.87</x:v>
      </x:c>
      <x:c r="S87" s="4" t="inlineStr">
        <x:is>
          <x:t xml:space="preserve">Expansão</x:t>
        </x:is>
      </x:c>
      <x:c r="T87" s="4" t="inlineStr">
        <x:is>
          <x:t xml:space="preserve">Pagamento parcial</x:t>
        </x:is>
      </x:c>
    </x:row>
    <x:row r="88">
      <x:c r="A88" s="4" t="n">
        <x:v>87</x:v>
      </x:c>
      <x:c r="B88" s="13" t="n">
        <x:v>45815</x:v>
      </x:c>
      <x:c r="C88" s="4" t="inlineStr">
        <x:is>
          <x:t xml:space="preserve">2025-06</x:t>
        </x:is>
      </x:c>
      <x:c r="D88" s="4" t="inlineStr">
        <x:is>
          <x:t xml:space="preserve">Despesa</x:t>
        </x:is>
      </x:c>
      <x:c r="E88" s="4" t="inlineStr">
        <x:is>
          <x:t xml:space="preserve">Tecnologia</x:t>
        </x:is>
      </x:c>
      <x:c r="F88" s="4" t="inlineStr">
        <x:is>
          <x:t xml:space="preserve">Licenças</x:t>
        </x:is>
      </x:c>
      <x:c r="G88" s="4" t="inlineStr">
        <x:is>
          <x:t xml:space="preserve">Operações</x:t>
        </x:is>
      </x:c>
      <x:c r="H88" s="4" t="inlineStr">
        <x:is>
          <x:t xml:space="preserve">Licenças - Fornecedor Nexus</x:t>
        </x:is>
      </x:c>
      <x:c r="I88" s="4" t="inlineStr">
        <x:is>
          <x:t xml:space="preserve">Fornecedor Nexus</x:t>
        </x:is>
      </x:c>
      <x:c r="J88" s="4" t="inlineStr">
        <x:is>
          <x:t xml:space="preserve">TED</x:t>
        </x:is>
      </x:c>
      <x:c r="K88" s="4" t="inlineStr">
        <x:is>
          <x:t xml:space="preserve">Conta Investimento</x:t>
        </x:is>
      </x:c>
      <x:c r="L88" s="4" t="inlineStr">
        <x:is>
          <x:t xml:space="preserve">Pago</x:t>
        </x:is>
      </x:c>
      <x:c r="M88" s="13" t="n">
        <x:v>45823</x:v>
      </x:c>
      <x:c r="N88" s="13" t="n">
        <x:v>45823</x:v>
      </x:c>
      <x:c r="O88" s="14" t="n">
        <x:v>3343.17</x:v>
      </x:c>
      <x:c r="P88" s="14" t="n">
        <x:v>0</x:v>
      </x:c>
      <x:c r="Q88" s="14" t="n">
        <x:v>25</x:v>
      </x:c>
      <x:c r="R88" s="14">
        <x:f>IF(D88="Receita",O88-P88+Q88,-(O88-P88+Q88))</x:f>
        <x:v>-3368.17</x:v>
      </x:c>
      <x:c r="S88" s="4" t="inlineStr">
        <x:is>
          <x:t xml:space="preserve">Projeto Sigma</x:t>
        </x:is>
      </x:c>
      <x:c r="T88" s="4" t="inlineStr">
        <x:is>
          <x:t xml:space="preserve"/>
        </x:is>
      </x:c>
    </x:row>
    <x:row r="89">
      <x:c r="A89" s="4" t="n">
        <x:v>88</x:v>
      </x:c>
      <x:c r="B89" s="13" t="n">
        <x:v>45793</x:v>
      </x:c>
      <x:c r="C89" s="4" t="inlineStr">
        <x:is>
          <x:t xml:space="preserve">2025-05</x:t>
        </x:is>
      </x:c>
      <x:c r="D89" s="4" t="inlineStr">
        <x:is>
          <x:t xml:space="preserve">Receita</x:t>
        </x:is>
      </x:c>
      <x:c r="E89" s="4" t="inlineStr">
        <x:is>
          <x:t xml:space="preserve">Receita Financeira</x:t>
        </x:is>
      </x:c>
      <x:c r="F89" s="4" t="inlineStr">
        <x:is>
          <x:t xml:space="preserve">Juros Recebidos</x:t>
        </x:is>
      </x:c>
      <x:c r="G89" s="4" t="inlineStr">
        <x:is>
          <x:t xml:space="preserve">Comercial</x:t>
        </x:is>
      </x:c>
      <x:c r="H89" s="4" t="inlineStr">
        <x:is>
          <x:t xml:space="preserve">Juros Recebidos - Cliente Ômega</x:t>
        </x:is>
      </x:c>
      <x:c r="I89" s="4" t="inlineStr">
        <x:is>
          <x:t xml:space="preserve">Cliente Ômega</x:t>
        </x:is>
      </x:c>
      <x:c r="J89" s="4" t="inlineStr">
        <x:is>
          <x:t xml:space="preserve">Cartão</x:t>
        </x:is>
      </x:c>
      <x:c r="K89" s="4" t="inlineStr">
        <x:is>
          <x:t xml:space="preserve">Caixa</x:t>
        </x:is>
      </x:c>
      <x:c r="L89" s="4" t="inlineStr">
        <x:is>
          <x:t xml:space="preserve">Pendente</x:t>
        </x:is>
      </x:c>
      <x:c r="M89" s="13" t="n">
        <x:v>45810</x:v>
      </x:c>
      <x:c r="N89" s="13" t="n"/>
      <x:c r="O89" s="14" t="n">
        <x:v>18968.66</x:v>
      </x:c>
      <x:c r="P89" s="14" t="n">
        <x:v>0</x:v>
      </x:c>
      <x:c r="Q89" s="14" t="n">
        <x:v>0</x:v>
      </x:c>
      <x:c r="R89" s="14">
        <x:f>IF(D89="Receita",O89-P89+Q89,-(O89-P89+Q89))</x:f>
        <x:v>18968.66</x:v>
      </x:c>
      <x:c r="S89" s="4" t="inlineStr">
        <x:is>
          <x:t xml:space="preserve">Rotina</x:t>
        </x:is>
      </x:c>
      <x:c r="T89" s="4" t="inlineStr">
        <x:is>
          <x:t xml:space="preserve">Pagamento parcial</x:t>
        </x:is>
      </x:c>
    </x:row>
    <x:row r="90">
      <x:c r="A90" s="4" t="n">
        <x:v>89</x:v>
      </x:c>
      <x:c r="B90" s="13" t="n">
        <x:v>45805</x:v>
      </x:c>
      <x:c r="C90" s="4" t="inlineStr">
        <x:is>
          <x:t xml:space="preserve">2025-05</x:t>
        </x:is>
      </x:c>
      <x:c r="D90" s="4" t="inlineStr">
        <x:is>
          <x:t xml:space="preserve">Receita</x:t>
        </x:is>
      </x:c>
      <x:c r="E90" s="4" t="inlineStr">
        <x:is>
          <x:t xml:space="preserve">Receita Financeira</x:t>
        </x:is>
      </x:c>
      <x:c r="F90" s="4" t="inlineStr">
        <x:is>
          <x:t xml:space="preserve">Rendimento Conta</x:t>
        </x:is>
      </x:c>
      <x:c r="G90" s="4" t="inlineStr">
        <x:is>
          <x:t xml:space="preserve">Comercial</x:t>
        </x:is>
      </x:c>
      <x:c r="H90" s="4" t="inlineStr">
        <x:is>
          <x:t xml:space="preserve">Rendimento Conta - Cliente Delta</x:t>
        </x:is>
      </x:c>
      <x:c r="I90" s="4" t="inlineStr">
        <x:is>
          <x:t xml:space="preserve">Cliente Delta</x:t>
        </x:is>
      </x:c>
      <x:c r="J90" s="4" t="inlineStr">
        <x:is>
          <x:t xml:space="preserve">Cartão</x:t>
        </x:is>
      </x:c>
      <x:c r="K90" s="4" t="inlineStr">
        <x:is>
          <x:t xml:space="preserve">Caixa</x:t>
        </x:is>
      </x:c>
      <x:c r="L90" s="4" t="inlineStr">
        <x:is>
          <x:t xml:space="preserve">Pago</x:t>
        </x:is>
      </x:c>
      <x:c r="M90" s="13" t="n">
        <x:v>45821</x:v>
      </x:c>
      <x:c r="N90" s="13" t="n">
        <x:v>45821</x:v>
      </x:c>
      <x:c r="O90" s="14" t="n">
        <x:v>9206.58</x:v>
      </x:c>
      <x:c r="P90" s="14" t="n">
        <x:v>0</x:v>
      </x:c>
      <x:c r="Q90" s="14" t="n">
        <x:v>0</x:v>
      </x:c>
      <x:c r="R90" s="14">
        <x:f>IF(D90="Receita",O90-P90+Q90,-(O90-P90+Q90))</x:f>
        <x:v>9206.58</x:v>
      </x:c>
      <x:c r="S90" s="4" t="inlineStr">
        <x:is>
          <x:t xml:space="preserve">Projeto Aurora</x:t>
        </x:is>
      </x:c>
      <x:c r="T90" s="4" t="inlineStr">
        <x:is>
          <x:t xml:space="preserve">Sem observações</x:t>
        </x:is>
      </x:c>
    </x:row>
    <x:row r="91">
      <x:c r="A91" s="4" t="n">
        <x:v>90</x:v>
      </x:c>
      <x:c r="B91" s="13" t="n">
        <x:v>45666</x:v>
      </x:c>
      <x:c r="C91" s="4" t="inlineStr">
        <x:is>
          <x:t xml:space="preserve">2025-01</x:t>
        </x:is>
      </x:c>
      <x:c r="D91" s="4" t="inlineStr">
        <x:is>
          <x:t xml:space="preserve">Receita</x:t>
        </x:is>
      </x:c>
      <x:c r="E91" s="4" t="inlineStr">
        <x:is>
          <x:t xml:space="preserve">Receita Financeira</x:t>
        </x:is>
      </x:c>
      <x:c r="F91" s="4" t="inlineStr">
        <x:is>
          <x:t xml:space="preserve">Juros Recebidos</x:t>
        </x:is>
      </x:c>
      <x:c r="G91" s="4" t="inlineStr">
        <x:is>
          <x:t xml:space="preserve">Comercial</x:t>
        </x:is>
      </x:c>
      <x:c r="H91" s="4" t="inlineStr">
        <x:is>
          <x:t xml:space="preserve">Juros Recebidos - Cliente Delta</x:t>
        </x:is>
      </x:c>
      <x:c r="I91" s="4" t="inlineStr">
        <x:is>
          <x:t xml:space="preserve">Cliente Delta</x:t>
        </x:is>
      </x:c>
      <x:c r="J91" s="4" t="inlineStr">
        <x:is>
          <x:t xml:space="preserve">PIX</x:t>
        </x:is>
      </x:c>
      <x:c r="K91" s="4" t="inlineStr">
        <x:is>
          <x:t xml:space="preserve">Banco Principal</x:t>
        </x:is>
      </x:c>
      <x:c r="L91" s="4" t="inlineStr">
        <x:is>
          <x:t xml:space="preserve">Pago</x:t>
        </x:is>
      </x:c>
      <x:c r="M91" s="13" t="n">
        <x:v>45681</x:v>
      </x:c>
      <x:c r="N91" s="13" t="n">
        <x:v>45681</x:v>
      </x:c>
      <x:c r="O91" s="14" t="n">
        <x:v>18674.71</x:v>
      </x:c>
      <x:c r="P91" s="14" t="n">
        <x:v>0</x:v>
      </x:c>
      <x:c r="Q91" s="14" t="n">
        <x:v>0</x:v>
      </x:c>
      <x:c r="R91" s="14">
        <x:f>IF(D91="Receita",O91-P91+Q91,-(O91-P91+Q91))</x:f>
        <x:v>18674.71</x:v>
      </x:c>
      <x:c r="S91" s="4" t="inlineStr">
        <x:is>
          <x:t xml:space="preserve">Projeto Aurora</x:t>
        </x:is>
      </x:c>
      <x:c r="T91" s="4" t="inlineStr">
        <x:is>
          <x:t xml:space="preserve"/>
        </x:is>
      </x:c>
    </x:row>
    <x:row r="92">
      <x:c r="A92" s="4" t="n">
        <x:v>91</x:v>
      </x:c>
      <x:c r="B92" s="13" t="n">
        <x:v>45803</x:v>
      </x:c>
      <x:c r="C92" s="4" t="inlineStr">
        <x:is>
          <x:t xml:space="preserve">2025-05</x:t>
        </x:is>
      </x:c>
      <x:c r="D92" s="4" t="inlineStr">
        <x:is>
          <x:t xml:space="preserve">Despesa</x:t>
        </x:is>
      </x:c>
      <x:c r="E92" s="4" t="inlineStr">
        <x:is>
          <x:t xml:space="preserve">Folha</x:t>
        </x:is>
      </x:c>
      <x:c r="F92" s="4" t="inlineStr">
        <x:is>
          <x:t xml:space="preserve">Benefícios</x:t>
        </x:is>
      </x:c>
      <x:c r="G92" s="4" t="inlineStr">
        <x:is>
          <x:t xml:space="preserve">Diretoria</x:t>
        </x:is>
      </x:c>
      <x:c r="H92" s="4" t="inlineStr">
        <x:is>
          <x:t xml:space="preserve">Benefícios - ContaFácil</x:t>
        </x:is>
      </x:c>
      <x:c r="I92" s="4" t="inlineStr">
        <x:is>
          <x:t xml:space="preserve">ContaFácil</x:t>
        </x:is>
      </x:c>
      <x:c r="J92" s="4" t="inlineStr">
        <x:is>
          <x:t xml:space="preserve">Boleto</x:t>
        </x:is>
      </x:c>
      <x:c r="K92" s="4" t="inlineStr">
        <x:is>
          <x:t xml:space="preserve">Caixa</x:t>
        </x:is>
      </x:c>
      <x:c r="L92" s="4" t="inlineStr">
        <x:is>
          <x:t xml:space="preserve">Pago</x:t>
        </x:is>
      </x:c>
      <x:c r="M92" s="13" t="n">
        <x:v>45821</x:v>
      </x:c>
      <x:c r="N92" s="13" t="n">
        <x:v>45821</x:v>
      </x:c>
      <x:c r="O92" s="14" t="n">
        <x:v>4098.72</x:v>
      </x:c>
      <x:c r="P92" s="14" t="n">
        <x:v>50</x:v>
      </x:c>
      <x:c r="Q92" s="14" t="n">
        <x:v>0</x:v>
      </x:c>
      <x:c r="R92" s="14">
        <x:f>IF(D92="Receita",O92-P92+Q92,-(O92-P92+Q92))</x:f>
        <x:v>-4048.7200000000003</x:v>
      </x:c>
      <x:c r="S92" s="4" t="inlineStr">
        <x:is>
          <x:t xml:space="preserve">Expansão</x:t>
        </x:is>
      </x:c>
      <x:c r="T92" s="4" t="inlineStr">
        <x:is>
          <x:t xml:space="preserve">Contrato recorrente</x:t>
        </x:is>
      </x:c>
    </x:row>
    <x:row r="93">
      <x:c r="A93" s="4" t="n">
        <x:v>92</x:v>
      </x:c>
      <x:c r="B93" s="13" t="n">
        <x:v>45698</x:v>
      </x:c>
      <x:c r="C93" s="4" t="inlineStr">
        <x:is>
          <x:t xml:space="preserve">2025-02</x:t>
        </x:is>
      </x:c>
      <x:c r="D93" s="4" t="inlineStr">
        <x:is>
          <x:t xml:space="preserve">Receita</x:t>
        </x:is>
      </x:c>
      <x:c r="E93" s="4" t="inlineStr">
        <x:is>
          <x:t xml:space="preserve">Vendas</x:t>
        </x:is>
      </x:c>
      <x:c r="F93" s="4" t="inlineStr">
        <x:is>
          <x:t xml:space="preserve">Produto B</x:t>
        </x:is>
      </x:c>
      <x:c r="G93" s="4" t="inlineStr">
        <x:is>
          <x:t xml:space="preserve">Comercial</x:t>
        </x:is>
      </x:c>
      <x:c r="H93" s="4" t="inlineStr">
        <x:is>
          <x:t xml:space="preserve">Produto B - Cliente Delta</x:t>
        </x:is>
      </x:c>
      <x:c r="I93" s="4" t="inlineStr">
        <x:is>
          <x:t xml:space="preserve">Cliente Delta</x:t>
        </x:is>
      </x:c>
      <x:c r="J93" s="4" t="inlineStr">
        <x:is>
          <x:t xml:space="preserve">Cartão</x:t>
        </x:is>
      </x:c>
      <x:c r="K93" s="4" t="inlineStr">
        <x:is>
          <x:t xml:space="preserve">Banco Principal</x:t>
        </x:is>
      </x:c>
      <x:c r="L93" s="4" t="inlineStr">
        <x:is>
          <x:t xml:space="preserve">Pendente</x:t>
        </x:is>
      </x:c>
      <x:c r="M93" s="13" t="n">
        <x:v>45706</x:v>
      </x:c>
      <x:c r="N93" s="13" t="n"/>
      <x:c r="O93" s="14" t="n">
        <x:v>4709.46</x:v>
      </x:c>
      <x:c r="P93" s="14" t="n">
        <x:v>0</x:v>
      </x:c>
      <x:c r="Q93" s="14" t="n">
        <x:v>45</x:v>
      </x:c>
      <x:c r="R93" s="14">
        <x:f>IF(D93="Receita",O93-P93+Q93,-(O93-P93+Q93))</x:f>
        <x:v>4754.46</x:v>
      </x:c>
      <x:c r="S93" s="4" t="inlineStr">
        <x:is>
          <x:t xml:space="preserve">Projeto Aurora</x:t>
        </x:is>
      </x:c>
      <x:c r="T93" s="4" t="inlineStr">
        <x:is>
          <x:t xml:space="preserve">Sem observações</x:t>
        </x:is>
      </x:c>
    </x:row>
    <x:row r="94">
      <x:c r="A94" s="4" t="n">
        <x:v>93</x:v>
      </x:c>
      <x:c r="B94" s="13" t="n">
        <x:v>45801</x:v>
      </x:c>
      <x:c r="C94" s="4" t="inlineStr">
        <x:is>
          <x:t xml:space="preserve">2025-05</x:t>
        </x:is>
      </x:c>
      <x:c r="D94" s="4" t="inlineStr">
        <x:is>
          <x:t xml:space="preserve">Despesa</x:t>
        </x:is>
      </x:c>
      <x:c r="E94" s="4" t="inlineStr">
        <x:is>
          <x:t xml:space="preserve">Administrativo</x:t>
        </x:is>
      </x:c>
      <x:c r="F94" s="4" t="inlineStr">
        <x:is>
          <x:t xml:space="preserve">Energia</x:t>
        </x:is>
      </x:c>
      <x:c r="G94" s="4" t="inlineStr">
        <x:is>
          <x:t xml:space="preserve">Diretoria</x:t>
        </x:is>
      </x:c>
      <x:c r="H94" s="4" t="inlineStr">
        <x:is>
          <x:t xml:space="preserve">Energia - OfficePlus</x:t>
        </x:is>
      </x:c>
      <x:c r="I94" s="4" t="inlineStr">
        <x:is>
          <x:t xml:space="preserve">OfficePlus</x:t>
        </x:is>
      </x:c>
      <x:c r="J94" s="4" t="inlineStr">
        <x:is>
          <x:t xml:space="preserve">PIX</x:t>
        </x:is>
      </x:c>
      <x:c r="K94" s="4" t="inlineStr">
        <x:is>
          <x:t xml:space="preserve">Banco Principal</x:t>
        </x:is>
      </x:c>
      <x:c r="L94" s="4" t="inlineStr">
        <x:is>
          <x:t xml:space="preserve">Pago</x:t>
        </x:is>
      </x:c>
      <x:c r="M94" s="13" t="n">
        <x:v>45801</x:v>
      </x:c>
      <x:c r="N94" s="13" t="n">
        <x:v>45801</x:v>
      </x:c>
      <x:c r="O94" s="14" t="n">
        <x:v>13224.72</x:v>
      </x:c>
      <x:c r="P94" s="14" t="n">
        <x:v>0</x:v>
      </x:c>
      <x:c r="Q94" s="14" t="n">
        <x:v>0</x:v>
      </x:c>
      <x:c r="R94" s="14">
        <x:f>IF(D94="Receita",O94-P94+Q94,-(O94-P94+Q94))</x:f>
        <x:v>-13224.72</x:v>
      </x:c>
      <x:c r="S94" s="4" t="inlineStr">
        <x:is>
          <x:t xml:space="preserve">Rotina</x:t>
        </x:is>
      </x:c>
      <x:c r="T94" s="4" t="inlineStr">
        <x:is>
          <x:t xml:space="preserve">Renovação anual</x:t>
        </x:is>
      </x:c>
    </x:row>
    <x:row r="95">
      <x:c r="A95" s="4" t="n">
        <x:v>94</x:v>
      </x:c>
      <x:c r="B95" s="13" t="n">
        <x:v>45718</x:v>
      </x:c>
      <x:c r="C95" s="4" t="inlineStr">
        <x:is>
          <x:t xml:space="preserve">2025-03</x:t>
        </x:is>
      </x:c>
      <x:c r="D95" s="4" t="inlineStr">
        <x:is>
          <x:t xml:space="preserve">Receita</x:t>
        </x:is>
      </x:c>
      <x:c r="E95" s="4" t="inlineStr">
        <x:is>
          <x:t xml:space="preserve">Vendas</x:t>
        </x:is>
      </x:c>
      <x:c r="F95" s="4" t="inlineStr">
        <x:is>
          <x:t xml:space="preserve">Produto A</x:t>
        </x:is>
      </x:c>
      <x:c r="G95" s="4" t="inlineStr">
        <x:is>
          <x:t xml:space="preserve">Comercial</x:t>
        </x:is>
      </x:c>
      <x:c r="H95" s="4" t="inlineStr">
        <x:is>
          <x:t xml:space="preserve">Produto A - Cliente Ômega</x:t>
        </x:is>
      </x:c>
      <x:c r="I95" s="4" t="inlineStr">
        <x:is>
          <x:t xml:space="preserve">Cliente Ômega</x:t>
        </x:is>
      </x:c>
      <x:c r="J95" s="4" t="inlineStr">
        <x:is>
          <x:t xml:space="preserve">TED</x:t>
        </x:is>
      </x:c>
      <x:c r="K95" s="4" t="inlineStr">
        <x:is>
          <x:t xml:space="preserve">Conta Investimento</x:t>
        </x:is>
      </x:c>
      <x:c r="L95" s="4" t="inlineStr">
        <x:is>
          <x:t xml:space="preserve">Pago</x:t>
        </x:is>
      </x:c>
      <x:c r="M95" s="13" t="n">
        <x:v>45731</x:v>
      </x:c>
      <x:c r="N95" s="13" t="n">
        <x:v>45731</x:v>
      </x:c>
      <x:c r="O95" s="14" t="n">
        <x:v>19955.92</x:v>
      </x:c>
      <x:c r="P95" s="14" t="n">
        <x:v>0</x:v>
      </x:c>
      <x:c r="Q95" s="14" t="n">
        <x:v>0</x:v>
      </x:c>
      <x:c r="R95" s="14">
        <x:f>IF(D95="Receita",O95-P95+Q95,-(O95-P95+Q95))</x:f>
        <x:v>19955.92</x:v>
      </x:c>
      <x:c r="S95" s="4" t="inlineStr">
        <x:is>
          <x:t xml:space="preserve">Expansão</x:t>
        </x:is>
      </x:c>
      <x:c r="T95" s="4" t="inlineStr">
        <x:is>
          <x:t xml:space="preserve">Pagamento parcial</x:t>
        </x:is>
      </x:c>
    </x:row>
    <x:row r="96">
      <x:c r="A96" s="4" t="n">
        <x:v>95</x:v>
      </x:c>
      <x:c r="B96" s="13" t="n">
        <x:v>45674</x:v>
      </x:c>
      <x:c r="C96" s="4" t="inlineStr">
        <x:is>
          <x:t xml:space="preserve">2025-01</x:t>
        </x:is>
      </x:c>
      <x:c r="D96" s="4" t="inlineStr">
        <x:is>
          <x:t xml:space="preserve">Receita</x:t>
        </x:is>
      </x:c>
      <x:c r="E96" s="4" t="inlineStr">
        <x:is>
          <x:t xml:space="preserve">Vendas</x:t>
        </x:is>
      </x:c>
      <x:c r="F96" s="4" t="inlineStr">
        <x:is>
          <x:t xml:space="preserve">Assinatura Mensal</x:t>
        </x:is>
      </x:c>
      <x:c r="G96" s="4" t="inlineStr">
        <x:is>
          <x:t xml:space="preserve">Comercial</x:t>
        </x:is>
      </x:c>
      <x:c r="H96" s="4" t="inlineStr">
        <x:is>
          <x:t xml:space="preserve">Assinatura Mensal - Cliente Ômega</x:t>
        </x:is>
      </x:c>
      <x:c r="I96" s="4" t="inlineStr">
        <x:is>
          <x:t xml:space="preserve">Cliente Ômega</x:t>
        </x:is>
      </x:c>
      <x:c r="J96" s="4" t="inlineStr">
        <x:is>
          <x:t xml:space="preserve">TED</x:t>
        </x:is>
      </x:c>
      <x:c r="K96" s="4" t="inlineStr">
        <x:is>
          <x:t xml:space="preserve">Conta Investimento</x:t>
        </x:is>
      </x:c>
      <x:c r="L96" s="4" t="inlineStr">
        <x:is>
          <x:t xml:space="preserve">Pago</x:t>
        </x:is>
      </x:c>
      <x:c r="M96" s="13" t="n">
        <x:v>45688</x:v>
      </x:c>
      <x:c r="N96" s="13" t="n">
        <x:v>45688</x:v>
      </x:c>
      <x:c r="O96" s="14" t="n">
        <x:v>1712.7</x:v>
      </x:c>
      <x:c r="P96" s="14" t="n">
        <x:v>85.64</x:v>
      </x:c>
      <x:c r="Q96" s="14" t="n">
        <x:v>45</x:v>
      </x:c>
      <x:c r="R96" s="14">
        <x:f>IF(D96="Receita",O96-P96+Q96,-(O96-P96+Q96))</x:f>
        <x:v>1672.06</x:v>
      </x:c>
      <x:c r="S96" s="4" t="inlineStr">
        <x:is>
          <x:t xml:space="preserve">Projeto Atlas</x:t>
        </x:is>
      </x:c>
      <x:c r="T96" s="4" t="inlineStr">
        <x:is>
          <x:t xml:space="preserve"/>
        </x:is>
      </x:c>
    </x:row>
    <x:row r="97">
      <x:c r="A97" s="4" t="n">
        <x:v>96</x:v>
      </x:c>
      <x:c r="B97" s="13" t="n">
        <x:v>45724</x:v>
      </x:c>
      <x:c r="C97" s="4" t="inlineStr">
        <x:is>
          <x:t xml:space="preserve">2025-03</x:t>
        </x:is>
      </x:c>
      <x:c r="D97" s="4" t="inlineStr">
        <x:is>
          <x:t xml:space="preserve">Receita</x:t>
        </x:is>
      </x:c>
      <x:c r="E97" s="4" t="inlineStr">
        <x:is>
          <x:t xml:space="preserve">Vendas</x:t>
        </x:is>
      </x:c>
      <x:c r="F97" s="4" t="inlineStr">
        <x:is>
          <x:t xml:space="preserve">Produto A</x:t>
        </x:is>
      </x:c>
      <x:c r="G97" s="4" t="inlineStr">
        <x:is>
          <x:t xml:space="preserve">Comercial</x:t>
        </x:is>
      </x:c>
      <x:c r="H97" s="4" t="inlineStr">
        <x:is>
          <x:t xml:space="preserve">Produto A - Cliente Gama</x:t>
        </x:is>
      </x:c>
      <x:c r="I97" s="4" t="inlineStr">
        <x:is>
          <x:t xml:space="preserve">Cliente Gama</x:t>
        </x:is>
      </x:c>
      <x:c r="J97" s="4" t="inlineStr">
        <x:is>
          <x:t xml:space="preserve">TED</x:t>
        </x:is>
      </x:c>
      <x:c r="K97" s="4" t="inlineStr">
        <x:is>
          <x:t xml:space="preserve">Caixa</x:t>
        </x:is>
      </x:c>
      <x:c r="L97" s="4" t="inlineStr">
        <x:is>
          <x:t xml:space="preserve">Pago</x:t>
        </x:is>
      </x:c>
      <x:c r="M97" s="13" t="n">
        <x:v>45725</x:v>
      </x:c>
      <x:c r="N97" s="13" t="n">
        <x:v>45725</x:v>
      </x:c>
      <x:c r="O97" s="14" t="n">
        <x:v>31357.68</x:v>
      </x:c>
      <x:c r="P97" s="14" t="n">
        <x:v>627.15</x:v>
      </x:c>
      <x:c r="Q97" s="14" t="n">
        <x:v>45</x:v>
      </x:c>
      <x:c r="R97" s="14">
        <x:f>IF(D97="Receita",O97-P97+Q97,-(O97-P97+Q97))</x:f>
        <x:v>30775.53</x:v>
      </x:c>
      <x:c r="S97" s="4" t="inlineStr">
        <x:is>
          <x:t xml:space="preserve">Projeto Sigma</x:t>
        </x:is>
      </x:c>
      <x:c r="T97" s="4" t="inlineStr">
        <x:is>
          <x:t xml:space="preserve">Sem observações</x:t>
        </x:is>
      </x:c>
    </x:row>
    <x:row r="98">
      <x:c r="A98" s="4" t="n">
        <x:v>97</x:v>
      </x:c>
      <x:c r="B98" s="13" t="n">
        <x:v>45713</x:v>
      </x:c>
      <x:c r="C98" s="4" t="inlineStr">
        <x:is>
          <x:t xml:space="preserve">2025-02</x:t>
        </x:is>
      </x:c>
      <x:c r="D98" s="4" t="inlineStr">
        <x:is>
          <x:t xml:space="preserve">Receita</x:t>
        </x:is>
      </x:c>
      <x:c r="E98" s="4" t="inlineStr">
        <x:is>
          <x:t xml:space="preserve">Outras Receitas</x:t>
        </x:is>
      </x:c>
      <x:c r="F98" s="4" t="inlineStr">
        <x:is>
          <x:t xml:space="preserve">Reembolso</x:t>
        </x:is>
      </x:c>
      <x:c r="G98" s="4" t="inlineStr">
        <x:is>
          <x:t xml:space="preserve">Comercial</x:t>
        </x:is>
      </x:c>
      <x:c r="H98" s="4" t="inlineStr">
        <x:is>
          <x:t xml:space="preserve">Reembolso - Cliente Beta</x:t>
        </x:is>
      </x:c>
      <x:c r="I98" s="4" t="inlineStr">
        <x:is>
          <x:t xml:space="preserve">Cliente Beta</x:t>
        </x:is>
      </x:c>
      <x:c r="J98" s="4" t="inlineStr">
        <x:is>
          <x:t xml:space="preserve">Cartão</x:t>
        </x:is>
      </x:c>
      <x:c r="K98" s="4" t="inlineStr">
        <x:is>
          <x:t xml:space="preserve">Conta Investimento</x:t>
        </x:is>
      </x:c>
      <x:c r="L98" s="4" t="inlineStr">
        <x:is>
          <x:t xml:space="preserve">Pago</x:t>
        </x:is>
      </x:c>
      <x:c r="M98" s="13" t="n">
        <x:v>45719</x:v>
      </x:c>
      <x:c r="N98" s="13" t="n">
        <x:v>45719</x:v>
      </x:c>
      <x:c r="O98" s="14" t="n">
        <x:v>10222.35</x:v>
      </x:c>
      <x:c r="P98" s="14" t="n">
        <x:v>0</x:v>
      </x:c>
      <x:c r="Q98" s="14" t="n">
        <x:v>45</x:v>
      </x:c>
      <x:c r="R98" s="14">
        <x:f>IF(D98="Receita",O98-P98+Q98,-(O98-P98+Q98))</x:f>
        <x:v>10267.35</x:v>
      </x:c>
      <x:c r="S98" s="4" t="inlineStr">
        <x:is>
          <x:t xml:space="preserve">Rotina</x:t>
        </x:is>
      </x:c>
      <x:c r="T98" s="4" t="inlineStr">
        <x:is>
          <x:t xml:space="preserve">Pagamento parcial</x:t>
        </x:is>
      </x:c>
    </x:row>
    <x:row r="99">
      <x:c r="A99" s="4" t="n">
        <x:v>98</x:v>
      </x:c>
      <x:c r="B99" s="13" t="n">
        <x:v>45811</x:v>
      </x:c>
      <x:c r="C99" s="4" t="inlineStr">
        <x:is>
          <x:t xml:space="preserve">2025-06</x:t>
        </x:is>
      </x:c>
      <x:c r="D99" s="4" t="inlineStr">
        <x:is>
          <x:t xml:space="preserve">Receita</x:t>
        </x:is>
      </x:c>
      <x:c r="E99" s="4" t="inlineStr">
        <x:is>
          <x:t xml:space="preserve">Outras Receitas</x:t>
        </x:is>
      </x:c>
      <x:c r="F99" s="4" t="inlineStr">
        <x:is>
          <x:t xml:space="preserve">Venda de Ativo</x:t>
        </x:is>
      </x:c>
      <x:c r="G99" s="4" t="inlineStr">
        <x:is>
          <x:t xml:space="preserve">Comercial</x:t>
        </x:is>
      </x:c>
      <x:c r="H99" s="4" t="inlineStr">
        <x:is>
          <x:t xml:space="preserve">Venda de Ativo - Cliente Delta</x:t>
        </x:is>
      </x:c>
      <x:c r="I99" s="4" t="inlineStr">
        <x:is>
          <x:t xml:space="preserve">Cliente Delta</x:t>
        </x:is>
      </x:c>
      <x:c r="J99" s="4" t="inlineStr">
        <x:is>
          <x:t xml:space="preserve">Cartão</x:t>
        </x:is>
      </x:c>
      <x:c r="K99" s="4" t="inlineStr">
        <x:is>
          <x:t xml:space="preserve">Conta Investimento</x:t>
        </x:is>
      </x:c>
      <x:c r="L99" s="4" t="inlineStr">
        <x:is>
          <x:t xml:space="preserve">Pago</x:t>
        </x:is>
      </x:c>
      <x:c r="M99" s="13" t="n">
        <x:v>45824</x:v>
      </x:c>
      <x:c r="N99" s="13" t="n">
        <x:v>45824</x:v>
      </x:c>
      <x:c r="O99" s="14" t="n">
        <x:v>29630.33</x:v>
      </x:c>
      <x:c r="P99" s="14" t="n">
        <x:v>0</x:v>
      </x:c>
      <x:c r="Q99" s="14" t="n">
        <x:v>0</x:v>
      </x:c>
      <x:c r="R99" s="14">
        <x:f>IF(D99="Receita",O99-P99+Q99,-(O99-P99+Q99))</x:f>
        <x:v>29630.33</x:v>
      </x:c>
      <x:c r="S99" s="4" t="inlineStr">
        <x:is>
          <x:t xml:space="preserve">Rotina</x:t>
        </x:is>
      </x:c>
      <x:c r="T99" s="4" t="inlineStr">
        <x:is>
          <x:t xml:space="preserve">Ajuste financeiro</x:t>
        </x:is>
      </x:c>
    </x:row>
    <x:row r="100">
      <x:c r="A100" s="4" t="n">
        <x:v>99</x:v>
      </x:c>
      <x:c r="B100" s="13" t="n">
        <x:v>45807</x:v>
      </x:c>
      <x:c r="C100" s="4" t="inlineStr">
        <x:is>
          <x:t xml:space="preserve">2025-05</x:t>
        </x:is>
      </x:c>
      <x:c r="D100" s="4" t="inlineStr">
        <x:is>
          <x:t xml:space="preserve">Receita</x:t>
        </x:is>
      </x:c>
      <x:c r="E100" s="4" t="inlineStr">
        <x:is>
          <x:t xml:space="preserve">Vendas</x:t>
        </x:is>
      </x:c>
      <x:c r="F100" s="4" t="inlineStr">
        <x:is>
          <x:t xml:space="preserve">Produto B</x:t>
        </x:is>
      </x:c>
      <x:c r="G100" s="4" t="inlineStr">
        <x:is>
          <x:t xml:space="preserve">Comercial</x:t>
        </x:is>
      </x:c>
      <x:c r="H100" s="4" t="inlineStr">
        <x:is>
          <x:t xml:space="preserve">Produto B - Cliente Alfa</x:t>
        </x:is>
      </x:c>
      <x:c r="I100" s="4" t="inlineStr">
        <x:is>
          <x:t xml:space="preserve">Cliente Alfa</x:t>
        </x:is>
      </x:c>
      <x:c r="J100" s="4" t="inlineStr">
        <x:is>
          <x:t xml:space="preserve">Boleto</x:t>
        </x:is>
      </x:c>
      <x:c r="K100" s="4" t="inlineStr">
        <x:is>
          <x:t xml:space="preserve">Banco Principal</x:t>
        </x:is>
      </x:c>
      <x:c r="L100" s="4" t="inlineStr">
        <x:is>
          <x:t xml:space="preserve">Pago</x:t>
        </x:is>
      </x:c>
      <x:c r="M100" s="13" t="n">
        <x:v>45812</x:v>
      </x:c>
      <x:c r="N100" s="13" t="n">
        <x:v>45812</x:v>
      </x:c>
      <x:c r="O100" s="14" t="n">
        <x:v>2401.24</x:v>
      </x:c>
      <x:c r="P100" s="14" t="n">
        <x:v>0</x:v>
      </x:c>
      <x:c r="Q100" s="14" t="n">
        <x:v>30</x:v>
      </x:c>
      <x:c r="R100" s="14">
        <x:f>IF(D100="Receita",O100-P100+Q100,-(O100-P100+Q100))</x:f>
        <x:v>2431.24</x:v>
      </x:c>
      <x:c r="S100" s="4" t="inlineStr">
        <x:is>
          <x:t xml:space="preserve">Projeto Aurora</x:t>
        </x:is>
      </x:c>
      <x:c r="T100" s="4" t="inlineStr">
        <x:is>
          <x:t xml:space="preserve"/>
        </x:is>
      </x:c>
    </x:row>
    <x:row r="101">
      <x:c r="A101" s="4" t="n">
        <x:v>100</x:v>
      </x:c>
      <x:c r="B101" s="13" t="n">
        <x:v>45693</x:v>
      </x:c>
      <x:c r="C101" s="4" t="inlineStr">
        <x:is>
          <x:t xml:space="preserve">2025-02</x:t>
        </x:is>
      </x:c>
      <x:c r="D101" s="4" t="inlineStr">
        <x:is>
          <x:t xml:space="preserve">Despesa</x:t>
        </x:is>
      </x:c>
      <x:c r="E101" s="4" t="inlineStr">
        <x:is>
          <x:t xml:space="preserve">Folha</x:t>
        </x:is>
      </x:c>
      <x:c r="F101" s="4" t="inlineStr">
        <x:is>
          <x:t xml:space="preserve">Benefícios</x:t>
        </x:is>
      </x:c>
      <x:c r="G101" s="4" t="inlineStr">
        <x:is>
          <x:t xml:space="preserve">Comercial</x:t>
        </x:is>
      </x:c>
      <x:c r="H101" s="4" t="inlineStr">
        <x:is>
          <x:t xml:space="preserve">Benefícios - Fornecedor Nexus</x:t>
        </x:is>
      </x:c>
      <x:c r="I101" s="4" t="inlineStr">
        <x:is>
          <x:t xml:space="preserve">Fornecedor Nexus</x:t>
        </x:is>
      </x:c>
      <x:c r="J101" s="4" t="inlineStr">
        <x:is>
          <x:t xml:space="preserve">PIX</x:t>
        </x:is>
      </x:c>
      <x:c r="K101" s="4" t="inlineStr">
        <x:is>
          <x:t xml:space="preserve">Cartão Corporativo</x:t>
        </x:is>
      </x:c>
      <x:c r="L101" s="4" t="inlineStr">
        <x:is>
          <x:t xml:space="preserve">Pago</x:t>
        </x:is>
      </x:c>
      <x:c r="M101" s="13" t="n">
        <x:v>45704</x:v>
      </x:c>
      <x:c r="N101" s="13" t="n">
        <x:v>45704</x:v>
      </x:c>
      <x:c r="O101" s="14" t="n">
        <x:v>1258.51</x:v>
      </x:c>
      <x:c r="P101" s="14" t="n">
        <x:v>50</x:v>
      </x:c>
      <x:c r="Q101" s="14" t="n">
        <x:v>40</x:v>
      </x:c>
      <x:c r="R101" s="14">
        <x:f>IF(D101="Receita",O101-P101+Q101,-(O101-P101+Q101))</x:f>
        <x:v>-1248.51</x:v>
      </x:c>
      <x:c r="S101" s="4" t="inlineStr">
        <x:is>
          <x:t xml:space="preserve">Projeto Aurora</x:t>
        </x:is>
      </x:c>
      <x:c r="T101" s="4" t="inlineStr">
        <x:is>
          <x:t xml:space="preserve">Renovação anual</x:t>
        </x:is>
      </x:c>
    </x:row>
    <x:row r="102">
      <x:c r="A102" s="4" t="n">
        <x:v>101</x:v>
      </x:c>
      <x:c r="B102" s="13" t="n">
        <x:v>45710</x:v>
      </x:c>
      <x:c r="C102" s="4" t="inlineStr">
        <x:is>
          <x:t xml:space="preserve">2025-02</x:t>
        </x:is>
      </x:c>
      <x:c r="D102" s="4" t="inlineStr">
        <x:is>
          <x:t xml:space="preserve">Receita</x:t>
        </x:is>
      </x:c>
      <x:c r="E102" s="4" t="inlineStr">
        <x:is>
          <x:t xml:space="preserve">Vendas</x:t>
        </x:is>
      </x:c>
      <x:c r="F102" s="4" t="inlineStr">
        <x:is>
          <x:t xml:space="preserve">Produto A</x:t>
        </x:is>
      </x:c>
      <x:c r="G102" s="4" t="inlineStr">
        <x:is>
          <x:t xml:space="preserve">Comercial</x:t>
        </x:is>
      </x:c>
      <x:c r="H102" s="4" t="inlineStr">
        <x:is>
          <x:t xml:space="preserve">Produto A - Cliente Alfa</x:t>
        </x:is>
      </x:c>
      <x:c r="I102" s="4" t="inlineStr">
        <x:is>
          <x:t xml:space="preserve">Cliente Alfa</x:t>
        </x:is>
      </x:c>
      <x:c r="J102" s="4" t="inlineStr">
        <x:is>
          <x:t xml:space="preserve">PIX</x:t>
        </x:is>
      </x:c>
      <x:c r="K102" s="4" t="inlineStr">
        <x:is>
          <x:t xml:space="preserve">Conta Investimento</x:t>
        </x:is>
      </x:c>
      <x:c r="L102" s="4" t="inlineStr">
        <x:is>
          <x:t xml:space="preserve">Pago</x:t>
        </x:is>
      </x:c>
      <x:c r="M102" s="13" t="n">
        <x:v>45713</x:v>
      </x:c>
      <x:c r="N102" s="13" t="n">
        <x:v>45713</x:v>
      </x:c>
      <x:c r="O102" s="14" t="n">
        <x:v>29139.52</x:v>
      </x:c>
      <x:c r="P102" s="14" t="n">
        <x:v>582.79</x:v>
      </x:c>
      <x:c r="Q102" s="14" t="n">
        <x:v>15</x:v>
      </x:c>
      <x:c r="R102" s="14">
        <x:f>IF(D102="Receita",O102-P102+Q102,-(O102-P102+Q102))</x:f>
        <x:v>28571.73</x:v>
      </x:c>
      <x:c r="S102" s="4" t="inlineStr">
        <x:is>
          <x:t xml:space="preserve">Projeto Sigma</x:t>
        </x:is>
      </x:c>
      <x:c r="T102" s="4" t="inlineStr">
        <x:is>
          <x:t xml:space="preserve">Pagamento parcial</x:t>
        </x:is>
      </x:c>
    </x:row>
    <x:row r="103">
      <x:c r="A103" s="4" t="n">
        <x:v>102</x:v>
      </x:c>
      <x:c r="B103" s="13" t="n">
        <x:v>45744</x:v>
      </x:c>
      <x:c r="C103" s="4" t="inlineStr">
        <x:is>
          <x:t xml:space="preserve">2025-03</x:t>
        </x:is>
      </x:c>
      <x:c r="D103" s="4" t="inlineStr">
        <x:is>
          <x:t xml:space="preserve">Despesa</x:t>
        </x:is>
      </x:c>
      <x:c r="E103" s="4" t="inlineStr">
        <x:is>
          <x:t xml:space="preserve">Folha</x:t>
        </x:is>
      </x:c>
      <x:c r="F103" s="4" t="inlineStr">
        <x:is>
          <x:t xml:space="preserve">Encargos</x:t>
        </x:is>
      </x:c>
      <x:c r="G103" s="4" t="inlineStr">
        <x:is>
          <x:t xml:space="preserve">Backoffice</x:t>
        </x:is>
      </x:c>
      <x:c r="H103" s="4" t="inlineStr">
        <x:is>
          <x:t xml:space="preserve">Encargos - ContaFácil</x:t>
        </x:is>
      </x:c>
      <x:c r="I103" s="4" t="inlineStr">
        <x:is>
          <x:t xml:space="preserve">ContaFácil</x:t>
        </x:is>
      </x:c>
      <x:c r="J103" s="4" t="inlineStr">
        <x:is>
          <x:t xml:space="preserve">PIX</x:t>
        </x:is>
      </x:c>
      <x:c r="K103" s="4" t="inlineStr">
        <x:is>
          <x:t xml:space="preserve">Cartão Corporativo</x:t>
        </x:is>
      </x:c>
      <x:c r="L103" s="4" t="inlineStr">
        <x:is>
          <x:t xml:space="preserve">Atrasado</x:t>
        </x:is>
      </x:c>
      <x:c r="M103" s="13" t="n">
        <x:v>45763</x:v>
      </x:c>
      <x:c r="N103" s="13" t="n">
        <x:v>45773</x:v>
      </x:c>
      <x:c r="O103" s="14" t="n">
        <x:v>947.47</x:v>
      </x:c>
      <x:c r="P103" s="14" t="n">
        <x:v>0</x:v>
      </x:c>
      <x:c r="Q103" s="14" t="n">
        <x:v>0</x:v>
      </x:c>
      <x:c r="R103" s="14">
        <x:f>IF(D103="Receita",O103-P103+Q103,-(O103-P103+Q103))</x:f>
        <x:v>-947.47</x:v>
      </x:c>
      <x:c r="S103" s="4" t="inlineStr">
        <x:is>
          <x:t xml:space="preserve">Projeto Aurora</x:t>
        </x:is>
      </x:c>
      <x:c r="T103" s="4" t="inlineStr">
        <x:is>
          <x:t xml:space="preserve">Contrato recorrente</x:t>
        </x:is>
      </x:c>
    </x:row>
    <x:row r="104">
      <x:c r="A104" s="4" t="n">
        <x:v>103</x:v>
      </x:c>
      <x:c r="B104" s="13" t="n">
        <x:v>45790</x:v>
      </x:c>
      <x:c r="C104" s="4" t="inlineStr">
        <x:is>
          <x:t xml:space="preserve">2025-05</x:t>
        </x:is>
      </x:c>
      <x:c r="D104" s="4" t="inlineStr">
        <x:is>
          <x:t xml:space="preserve">Despesa</x:t>
        </x:is>
      </x:c>
      <x:c r="E104" s="4" t="inlineStr">
        <x:is>
          <x:t xml:space="preserve">Tecnologia</x:t>
        </x:is>
      </x:c>
      <x:c r="F104" s="4" t="inlineStr">
        <x:is>
          <x:t xml:space="preserve">Licenças</x:t>
        </x:is>
      </x:c>
      <x:c r="G104" s="4" t="inlineStr">
        <x:is>
          <x:t xml:space="preserve">Comercial</x:t>
        </x:is>
      </x:c>
      <x:c r="H104" s="4" t="inlineStr">
        <x:is>
          <x:t xml:space="preserve">Licenças - EnergiaSul</x:t>
        </x:is>
      </x:c>
      <x:c r="I104" s="4" t="inlineStr">
        <x:is>
          <x:t xml:space="preserve">EnergiaSul</x:t>
        </x:is>
      </x:c>
      <x:c r="J104" s="4" t="inlineStr">
        <x:is>
          <x:t xml:space="preserve">Boleto</x:t>
        </x:is>
      </x:c>
      <x:c r="K104" s="4" t="inlineStr">
        <x:is>
          <x:t xml:space="preserve">Cartão Corporativo</x:t>
        </x:is>
      </x:c>
      <x:c r="L104" s="4" t="inlineStr">
        <x:is>
          <x:t xml:space="preserve">Atrasado</x:t>
        </x:is>
      </x:c>
      <x:c r="M104" s="13" t="n">
        <x:v>45792</x:v>
      </x:c>
      <x:c r="N104" s="13" t="n"/>
      <x:c r="O104" s="14" t="n">
        <x:v>9718.82</x:v>
      </x:c>
      <x:c r="P104" s="14" t="n">
        <x:v>0</x:v>
      </x:c>
      <x:c r="Q104" s="14" t="n">
        <x:v>25</x:v>
      </x:c>
      <x:c r="R104" s="14">
        <x:f>IF(D104="Receita",O104-P104+Q104,-(O104-P104+Q104))</x:f>
        <x:v>-9743.82</x:v>
      </x:c>
      <x:c r="S104" s="4" t="inlineStr">
        <x:is>
          <x:t xml:space="preserve">Projeto Aurora</x:t>
        </x:is>
      </x:c>
      <x:c r="T104" s="4" t="inlineStr">
        <x:is>
          <x:t xml:space="preserve">Ajuste financeiro</x:t>
        </x:is>
      </x:c>
    </x:row>
    <x:row r="105">
      <x:c r="A105" s="4" t="n">
        <x:v>104</x:v>
      </x:c>
      <x:c r="B105" s="13" t="n">
        <x:v>45709</x:v>
      </x:c>
      <x:c r="C105" s="4" t="inlineStr">
        <x:is>
          <x:t xml:space="preserve">2025-02</x:t>
        </x:is>
      </x:c>
      <x:c r="D105" s="4" t="inlineStr">
        <x:is>
          <x:t xml:space="preserve">Receita</x:t>
        </x:is>
      </x:c>
      <x:c r="E105" s="4" t="inlineStr">
        <x:is>
          <x:t xml:space="preserve">Vendas</x:t>
        </x:is>
      </x:c>
      <x:c r="F105" s="4" t="inlineStr">
        <x:is>
          <x:t xml:space="preserve">Produto A</x:t>
        </x:is>
      </x:c>
      <x:c r="G105" s="4" t="inlineStr">
        <x:is>
          <x:t xml:space="preserve">Comercial</x:t>
        </x:is>
      </x:c>
      <x:c r="H105" s="4" t="inlineStr">
        <x:is>
          <x:t xml:space="preserve">Produto A - Cliente Gama</x:t>
        </x:is>
      </x:c>
      <x:c r="I105" s="4" t="inlineStr">
        <x:is>
          <x:t xml:space="preserve">Cliente Gama</x:t>
        </x:is>
      </x:c>
      <x:c r="J105" s="4" t="inlineStr">
        <x:is>
          <x:t xml:space="preserve">Cartão</x:t>
        </x:is>
      </x:c>
      <x:c r="K105" s="4" t="inlineStr">
        <x:is>
          <x:t xml:space="preserve">Caixa</x:t>
        </x:is>
      </x:c>
      <x:c r="L105" s="4" t="inlineStr">
        <x:is>
          <x:t xml:space="preserve">Pendente</x:t>
        </x:is>
      </x:c>
      <x:c r="M105" s="13" t="n">
        <x:v>45714</x:v>
      </x:c>
      <x:c r="N105" s="13" t="n"/>
      <x:c r="O105" s="14" t="n">
        <x:v>17942.57</x:v>
      </x:c>
      <x:c r="P105" s="14" t="n">
        <x:v>897.13</x:v>
      </x:c>
      <x:c r="Q105" s="14" t="n">
        <x:v>45</x:v>
      </x:c>
      <x:c r="R105" s="14">
        <x:f>IF(D105="Receita",O105-P105+Q105,-(O105-P105+Q105))</x:f>
        <x:v>17090.44</x:v>
      </x:c>
      <x:c r="S105" s="4" t="inlineStr">
        <x:is>
          <x:t xml:space="preserve">Expansão</x:t>
        </x:is>
      </x:c>
      <x:c r="T105" s="4" t="inlineStr">
        <x:is>
          <x:t xml:space="preserve">Renovação anual</x:t>
        </x:is>
      </x:c>
    </x:row>
    <x:row r="106">
      <x:c r="A106" s="4" t="n">
        <x:v>105</x:v>
      </x:c>
      <x:c r="B106" s="13" t="n">
        <x:v>45730</x:v>
      </x:c>
      <x:c r="C106" s="4" t="inlineStr">
        <x:is>
          <x:t xml:space="preserve">2025-03</x:t>
        </x:is>
      </x:c>
      <x:c r="D106" s="4" t="inlineStr">
        <x:is>
          <x:t xml:space="preserve">Despesa</x:t>
        </x:is>
      </x:c>
      <x:c r="E106" s="4" t="inlineStr">
        <x:is>
          <x:t xml:space="preserve">Marketing</x:t>
        </x:is>
      </x:c>
      <x:c r="F106" s="4" t="inlineStr">
        <x:is>
          <x:t xml:space="preserve">Eventos</x:t>
        </x:is>
      </x:c>
      <x:c r="G106" s="4" t="inlineStr">
        <x:is>
          <x:t xml:space="preserve">Comercial</x:t>
        </x:is>
      </x:c>
      <x:c r="H106" s="4" t="inlineStr">
        <x:is>
          <x:t xml:space="preserve">Eventos - CloudFast</x:t>
        </x:is>
      </x:c>
      <x:c r="I106" s="4" t="inlineStr">
        <x:is>
          <x:t xml:space="preserve">CloudFast</x:t>
        </x:is>
      </x:c>
      <x:c r="J106" s="4" t="inlineStr">
        <x:is>
          <x:t xml:space="preserve">Cartão</x:t>
        </x:is>
      </x:c>
      <x:c r="K106" s="4" t="inlineStr">
        <x:is>
          <x:t xml:space="preserve">Caixa</x:t>
        </x:is>
      </x:c>
      <x:c r="L106" s="4" t="inlineStr">
        <x:is>
          <x:t xml:space="preserve">Pago</x:t>
        </x:is>
      </x:c>
      <x:c r="M106" s="13" t="n">
        <x:v>45747</x:v>
      </x:c>
      <x:c r="N106" s="13" t="n">
        <x:v>45747</x:v>
      </x:c>
      <x:c r="O106" s="14" t="n">
        <x:v>16901.71</x:v>
      </x:c>
      <x:c r="P106" s="14" t="n">
        <x:v>0</x:v>
      </x:c>
      <x:c r="Q106" s="14" t="n">
        <x:v>0</x:v>
      </x:c>
      <x:c r="R106" s="14">
        <x:f>IF(D106="Receita",O106-P106+Q106,-(O106-P106+Q106))</x:f>
        <x:v>-16901.71</x:v>
      </x:c>
      <x:c r="S106" s="4" t="inlineStr">
        <x:is>
          <x:t xml:space="preserve">Projeto Aurora</x:t>
        </x:is>
      </x:c>
      <x:c r="T106" s="4" t="inlineStr">
        <x:is>
          <x:t xml:space="preserve">Contrato recorrente</x:t>
        </x:is>
      </x:c>
    </x:row>
    <x:row r="107">
      <x:c r="A107" s="4" t="n">
        <x:v>106</x:v>
      </x:c>
      <x:c r="B107" s="13" t="n">
        <x:v>45759</x:v>
      </x:c>
      <x:c r="C107" s="4" t="inlineStr">
        <x:is>
          <x:t xml:space="preserve">2025-04</x:t>
        </x:is>
      </x:c>
      <x:c r="D107" s="4" t="inlineStr">
        <x:is>
          <x:t xml:space="preserve">Despesa</x:t>
        </x:is>
      </x:c>
      <x:c r="E107" s="4" t="inlineStr">
        <x:is>
          <x:t xml:space="preserve">Folha</x:t>
        </x:is>
      </x:c>
      <x:c r="F107" s="4" t="inlineStr">
        <x:is>
          <x:t xml:space="preserve">Encargos</x:t>
        </x:is>
      </x:c>
      <x:c r="G107" s="4" t="inlineStr">
        <x:is>
          <x:t xml:space="preserve">Comercial</x:t>
        </x:is>
      </x:c>
      <x:c r="H107" s="4" t="inlineStr">
        <x:is>
          <x:t xml:space="preserve">Encargos - EnergiaSul</x:t>
        </x:is>
      </x:c>
      <x:c r="I107" s="4" t="inlineStr">
        <x:is>
          <x:t xml:space="preserve">EnergiaSul</x:t>
        </x:is>
      </x:c>
      <x:c r="J107" s="4" t="inlineStr">
        <x:is>
          <x:t xml:space="preserve">TED</x:t>
        </x:is>
      </x:c>
      <x:c r="K107" s="4" t="inlineStr">
        <x:is>
          <x:t xml:space="preserve">Conta Investimento</x:t>
        </x:is>
      </x:c>
      <x:c r="L107" s="4" t="inlineStr">
        <x:is>
          <x:t xml:space="preserve">Atrasado</x:t>
        </x:is>
      </x:c>
      <x:c r="M107" s="13" t="n">
        <x:v>45772</x:v>
      </x:c>
      <x:c r="N107" s="13" t="n"/>
      <x:c r="O107" s="14" t="n">
        <x:v>6745.34</x:v>
      </x:c>
      <x:c r="P107" s="14" t="n">
        <x:v>0</x:v>
      </x:c>
      <x:c r="Q107" s="14" t="n">
        <x:v>0</x:v>
      </x:c>
      <x:c r="R107" s="14">
        <x:f>IF(D107="Receita",O107-P107+Q107,-(O107-P107+Q107))</x:f>
        <x:v>-6745.34</x:v>
      </x:c>
      <x:c r="S107" s="4" t="inlineStr">
        <x:is>
          <x:t xml:space="preserve">Rotina</x:t>
        </x:is>
      </x:c>
      <x:c r="T107" s="4" t="inlineStr">
        <x:is>
          <x:t xml:space="preserve">Renovação anual</x:t>
        </x:is>
      </x:c>
    </x:row>
    <x:row r="108">
      <x:c r="A108" s="4" t="n">
        <x:v>107</x:v>
      </x:c>
      <x:c r="B108" s="13" t="n">
        <x:v>45794</x:v>
      </x:c>
      <x:c r="C108" s="4" t="inlineStr">
        <x:is>
          <x:t xml:space="preserve">2025-05</x:t>
        </x:is>
      </x:c>
      <x:c r="D108" s="4" t="inlineStr">
        <x:is>
          <x:t xml:space="preserve">Despesa</x:t>
        </x:is>
      </x:c>
      <x:c r="E108" s="4" t="inlineStr">
        <x:is>
          <x:t xml:space="preserve">Administrativo</x:t>
        </x:is>
      </x:c>
      <x:c r="F108" s="4" t="inlineStr">
        <x:is>
          <x:t xml:space="preserve">Contabilidade</x:t>
        </x:is>
      </x:c>
      <x:c r="G108" s="4" t="inlineStr">
        <x:is>
          <x:t xml:space="preserve">Diretoria</x:t>
        </x:is>
      </x:c>
      <x:c r="H108" s="4" t="inlineStr">
        <x:is>
          <x:t xml:space="preserve">Contabilidade - ContaFácil</x:t>
        </x:is>
      </x:c>
      <x:c r="I108" s="4" t="inlineStr">
        <x:is>
          <x:t xml:space="preserve">ContaFácil</x:t>
        </x:is>
      </x:c>
      <x:c r="J108" s="4" t="inlineStr">
        <x:is>
          <x:t xml:space="preserve">Boleto</x:t>
        </x:is>
      </x:c>
      <x:c r="K108" s="4" t="inlineStr">
        <x:is>
          <x:t xml:space="preserve">Cartão Corporativo</x:t>
        </x:is>
      </x:c>
      <x:c r="L108" s="4" t="inlineStr">
        <x:is>
          <x:t xml:space="preserve">Atrasado</x:t>
        </x:is>
      </x:c>
      <x:c r="M108" s="13" t="n">
        <x:v>45808</x:v>
      </x:c>
      <x:c r="N108" s="13" t="n"/>
      <x:c r="O108" s="14" t="n">
        <x:v>5933.75</x:v>
      </x:c>
      <x:c r="P108" s="14" t="n">
        <x:v>0</x:v>
      </x:c>
      <x:c r="Q108" s="14" t="n">
        <x:v>40</x:v>
      </x:c>
      <x:c r="R108" s="14">
        <x:f>IF(D108="Receita",O108-P108+Q108,-(O108-P108+Q108))</x:f>
        <x:v>-5973.75</x:v>
      </x:c>
      <x:c r="S108" s="4" t="inlineStr">
        <x:is>
          <x:t xml:space="preserve">Rotina</x:t>
        </x:is>
      </x:c>
      <x:c r="T108" s="4" t="inlineStr">
        <x:is>
          <x:t xml:space="preserve">Sem observações</x:t>
        </x:is>
      </x:c>
    </x:row>
    <x:row r="109">
      <x:c r="A109" s="4" t="n">
        <x:v>108</x:v>
      </x:c>
      <x:c r="B109" s="13" t="n">
        <x:v>45723</x:v>
      </x:c>
      <x:c r="C109" s="4" t="inlineStr">
        <x:is>
          <x:t xml:space="preserve">2025-03</x:t>
        </x:is>
      </x:c>
      <x:c r="D109" s="4" t="inlineStr">
        <x:is>
          <x:t xml:space="preserve">Despesa</x:t>
        </x:is>
      </x:c>
      <x:c r="E109" s="4" t="inlineStr">
        <x:is>
          <x:t xml:space="preserve">Marketing</x:t>
        </x:is>
      </x:c>
      <x:c r="F109" s="4" t="inlineStr">
        <x:is>
          <x:t xml:space="preserve">Eventos</x:t>
        </x:is>
      </x:c>
      <x:c r="G109" s="4" t="inlineStr">
        <x:is>
          <x:t xml:space="preserve">Operações</x:t>
        </x:is>
      </x:c>
      <x:c r="H109" s="4" t="inlineStr">
        <x:is>
          <x:t xml:space="preserve">Eventos - MídiaPro</x:t>
        </x:is>
      </x:c>
      <x:c r="I109" s="4" t="inlineStr">
        <x:is>
          <x:t xml:space="preserve">MídiaPro</x:t>
        </x:is>
      </x:c>
      <x:c r="J109" s="4" t="inlineStr">
        <x:is>
          <x:t xml:space="preserve">Boleto</x:t>
        </x:is>
      </x:c>
      <x:c r="K109" s="4" t="inlineStr">
        <x:is>
          <x:t xml:space="preserve">Conta Investimento</x:t>
        </x:is>
      </x:c>
      <x:c r="L109" s="4" t="inlineStr">
        <x:is>
          <x:t xml:space="preserve">Pago</x:t>
        </x:is>
      </x:c>
      <x:c r="M109" s="13" t="n">
        <x:v>45742</x:v>
      </x:c>
      <x:c r="N109" s="13" t="n">
        <x:v>45742</x:v>
      </x:c>
      <x:c r="O109" s="14" t="n">
        <x:v>9178.049999999999</x:v>
      </x:c>
      <x:c r="P109" s="14" t="n">
        <x:v>0</x:v>
      </x:c>
      <x:c r="Q109" s="14" t="n">
        <x:v>0</x:v>
      </x:c>
      <x:c r="R109" s="14">
        <x:f>IF(D109="Receita",O109-P109+Q109,-(O109-P109+Q109))</x:f>
        <x:v>-9178.05</x:v>
      </x:c>
      <x:c r="S109" s="4" t="inlineStr">
        <x:is>
          <x:t xml:space="preserve">Projeto Sigma</x:t>
        </x:is>
      </x:c>
      <x:c r="T109" s="4" t="inlineStr">
        <x:is>
          <x:t xml:space="preserve">Ajuste financeiro</x:t>
        </x:is>
      </x:c>
    </x:row>
    <x:row r="110">
      <x:c r="A110" s="4" t="n">
        <x:v>109</x:v>
      </x:c>
      <x:c r="B110" s="13" t="n">
        <x:v>45791</x:v>
      </x:c>
      <x:c r="C110" s="4" t="inlineStr">
        <x:is>
          <x:t xml:space="preserve">2025-05</x:t>
        </x:is>
      </x:c>
      <x:c r="D110" s="4" t="inlineStr">
        <x:is>
          <x:t xml:space="preserve">Despesa</x:t>
        </x:is>
      </x:c>
      <x:c r="E110" s="4" t="inlineStr">
        <x:is>
          <x:t xml:space="preserve">Marketing</x:t>
        </x:is>
      </x:c>
      <x:c r="F110" s="4" t="inlineStr">
        <x:is>
          <x:t xml:space="preserve">Eventos</x:t>
        </x:is>
      </x:c>
      <x:c r="G110" s="4" t="inlineStr">
        <x:is>
          <x:t xml:space="preserve">Backoffice</x:t>
        </x:is>
      </x:c>
      <x:c r="H110" s="4" t="inlineStr">
        <x:is>
          <x:t xml:space="preserve">Eventos - CloudFast</x:t>
        </x:is>
      </x:c>
      <x:c r="I110" s="4" t="inlineStr">
        <x:is>
          <x:t xml:space="preserve">CloudFast</x:t>
        </x:is>
      </x:c>
      <x:c r="J110" s="4" t="inlineStr">
        <x:is>
          <x:t xml:space="preserve">Boleto</x:t>
        </x:is>
      </x:c>
      <x:c r="K110" s="4" t="inlineStr">
        <x:is>
          <x:t xml:space="preserve">Cartão Corporativo</x:t>
        </x:is>
      </x:c>
      <x:c r="L110" s="4" t="inlineStr">
        <x:is>
          <x:t xml:space="preserve">Pago</x:t>
        </x:is>
      </x:c>
      <x:c r="M110" s="13" t="n">
        <x:v>45796</x:v>
      </x:c>
      <x:c r="N110" s="13" t="n">
        <x:v>45796</x:v>
      </x:c>
      <x:c r="O110" s="14" t="n">
        <x:v>17554.66</x:v>
      </x:c>
      <x:c r="P110" s="14" t="n">
        <x:v>100</x:v>
      </x:c>
      <x:c r="Q110" s="14" t="n">
        <x:v>0</x:v>
      </x:c>
      <x:c r="R110" s="14">
        <x:f>IF(D110="Receita",O110-P110+Q110,-(O110-P110+Q110))</x:f>
        <x:v>-17454.66</x:v>
      </x:c>
      <x:c r="S110" s="4" t="inlineStr">
        <x:is>
          <x:t xml:space="preserve">Projeto Atlas</x:t>
        </x:is>
      </x:c>
      <x:c r="T110" s="4" t="inlineStr">
        <x:is>
          <x:t xml:space="preserve">Renovação anual</x:t>
        </x:is>
      </x:c>
    </x:row>
    <x:row r="111">
      <x:c r="A111" s="4" t="n">
        <x:v>110</x:v>
      </x:c>
      <x:c r="B111" s="13" t="n">
        <x:v>45735</x:v>
      </x:c>
      <x:c r="C111" s="4" t="inlineStr">
        <x:is>
          <x:t xml:space="preserve">2025-03</x:t>
        </x:is>
      </x:c>
      <x:c r="D111" s="4" t="inlineStr">
        <x:is>
          <x:t xml:space="preserve">Despesa</x:t>
        </x:is>
      </x:c>
      <x:c r="E111" s="4" t="inlineStr">
        <x:is>
          <x:t xml:space="preserve">Operacional</x:t>
        </x:is>
      </x:c>
      <x:c r="F111" s="4" t="inlineStr">
        <x:is>
          <x:t xml:space="preserve">Manutenção</x:t>
        </x:is>
      </x:c>
      <x:c r="G111" s="4" t="inlineStr">
        <x:is>
          <x:t xml:space="preserve">Comercial</x:t>
        </x:is>
      </x:c>
      <x:c r="H111" s="4" t="inlineStr">
        <x:is>
          <x:t xml:space="preserve">Manutenção - CloudFast</x:t>
        </x:is>
      </x:c>
      <x:c r="I111" s="4" t="inlineStr">
        <x:is>
          <x:t xml:space="preserve">CloudFast</x:t>
        </x:is>
      </x:c>
      <x:c r="J111" s="4" t="inlineStr">
        <x:is>
          <x:t xml:space="preserve">TED</x:t>
        </x:is>
      </x:c>
      <x:c r="K111" s="4" t="inlineStr">
        <x:is>
          <x:t xml:space="preserve">Banco Principal</x:t>
        </x:is>
      </x:c>
      <x:c r="L111" s="4" t="inlineStr">
        <x:is>
          <x:t xml:space="preserve">Pendente</x:t>
        </x:is>
      </x:c>
      <x:c r="M111" s="13" t="n">
        <x:v>45741</x:v>
      </x:c>
      <x:c r="N111" s="13" t="n"/>
      <x:c r="O111" s="14" t="n">
        <x:v>11512.62</x:v>
      </x:c>
      <x:c r="P111" s="14" t="n">
        <x:v>0</x:v>
      </x:c>
      <x:c r="Q111" s="14" t="n">
        <x:v>0</x:v>
      </x:c>
      <x:c r="R111" s="14">
        <x:f>IF(D111="Receita",O111-P111+Q111,-(O111-P111+Q111))</x:f>
        <x:v>-11512.62</x:v>
      </x:c>
      <x:c r="S111" s="4" t="inlineStr">
        <x:is>
          <x:t xml:space="preserve">Projeto Aurora</x:t>
        </x:is>
      </x:c>
      <x:c r="T111" s="4" t="inlineStr">
        <x:is>
          <x:t xml:space="preserve">Contrato recorrente</x:t>
        </x:is>
      </x:c>
    </x:row>
    <x:row r="112">
      <x:c r="A112" s="4" t="n">
        <x:v>111</x:v>
      </x:c>
      <x:c r="B112" s="13" t="n">
        <x:v>45769</x:v>
      </x:c>
      <x:c r="C112" s="4" t="inlineStr">
        <x:is>
          <x:t xml:space="preserve">2025-04</x:t>
        </x:is>
      </x:c>
      <x:c r="D112" s="4" t="inlineStr">
        <x:is>
          <x:t xml:space="preserve">Despesa</x:t>
        </x:is>
      </x:c>
      <x:c r="E112" s="4" t="inlineStr">
        <x:is>
          <x:t xml:space="preserve">Administrativo</x:t>
        </x:is>
      </x:c>
      <x:c r="F112" s="4" t="inlineStr">
        <x:is>
          <x:t xml:space="preserve">Aluguel</x:t>
        </x:is>
      </x:c>
      <x:c r="G112" s="4" t="inlineStr">
        <x:is>
          <x:t xml:space="preserve">Comercial</x:t>
        </x:is>
      </x:c>
      <x:c r="H112" s="4" t="inlineStr">
        <x:is>
          <x:t xml:space="preserve">Aluguel - MídiaPro</x:t>
        </x:is>
      </x:c>
      <x:c r="I112" s="4" t="inlineStr">
        <x:is>
          <x:t xml:space="preserve">MídiaPro</x:t>
        </x:is>
      </x:c>
      <x:c r="J112" s="4" t="inlineStr">
        <x:is>
          <x:t xml:space="preserve">Boleto</x:t>
        </x:is>
      </x:c>
      <x:c r="K112" s="4" t="inlineStr">
        <x:is>
          <x:t xml:space="preserve">Cartão Corporativo</x:t>
        </x:is>
      </x:c>
      <x:c r="L112" s="4" t="inlineStr">
        <x:is>
          <x:t xml:space="preserve">Pago</x:t>
        </x:is>
      </x:c>
      <x:c r="M112" s="13" t="n">
        <x:v>45781</x:v>
      </x:c>
      <x:c r="N112" s="13" t="n">
        <x:v>45781</x:v>
      </x:c>
      <x:c r="O112" s="14" t="n">
        <x:v>2621.28</x:v>
      </x:c>
      <x:c r="P112" s="14" t="n">
        <x:v>50</x:v>
      </x:c>
      <x:c r="Q112" s="14" t="n">
        <x:v>25</x:v>
      </x:c>
      <x:c r="R112" s="14">
        <x:f>IF(D112="Receita",O112-P112+Q112,-(O112-P112+Q112))</x:f>
        <x:v>-2596.28</x:v>
      </x:c>
      <x:c r="S112" s="4" t="inlineStr">
        <x:is>
          <x:t xml:space="preserve">Expansão</x:t>
        </x:is>
      </x:c>
      <x:c r="T112" s="4" t="inlineStr">
        <x:is>
          <x:t xml:space="preserve">Ajuste financeiro</x:t>
        </x:is>
      </x:c>
    </x:row>
    <x:row r="113">
      <x:c r="A113" s="4" t="n">
        <x:v>112</x:v>
      </x:c>
      <x:c r="B113" s="13" t="n">
        <x:v>45823</x:v>
      </x:c>
      <x:c r="C113" s="4" t="inlineStr">
        <x:is>
          <x:t xml:space="preserve">2025-06</x:t>
        </x:is>
      </x:c>
      <x:c r="D113" s="4" t="inlineStr">
        <x:is>
          <x:t xml:space="preserve">Despesa</x:t>
        </x:is>
      </x:c>
      <x:c r="E113" s="4" t="inlineStr">
        <x:is>
          <x:t xml:space="preserve">Marketing</x:t>
        </x:is>
      </x:c>
      <x:c r="F113" s="4" t="inlineStr">
        <x:is>
          <x:t xml:space="preserve">Design</x:t>
        </x:is>
      </x:c>
      <x:c r="G113" s="4" t="inlineStr">
        <x:is>
          <x:t xml:space="preserve">Diretoria</x:t>
        </x:is>
      </x:c>
      <x:c r="H113" s="4" t="inlineStr">
        <x:is>
          <x:t xml:space="preserve">Design - EnergiaSul</x:t>
        </x:is>
      </x:c>
      <x:c r="I113" s="4" t="inlineStr">
        <x:is>
          <x:t xml:space="preserve">EnergiaSul</x:t>
        </x:is>
      </x:c>
      <x:c r="J113" s="4" t="inlineStr">
        <x:is>
          <x:t xml:space="preserve">TED</x:t>
        </x:is>
      </x:c>
      <x:c r="K113" s="4" t="inlineStr">
        <x:is>
          <x:t xml:space="preserve">Cartão Corporativo</x:t>
        </x:is>
      </x:c>
      <x:c r="L113" s="4" t="inlineStr">
        <x:is>
          <x:t xml:space="preserve">Pago</x:t>
        </x:is>
      </x:c>
      <x:c r="M113" s="13" t="n">
        <x:v>45843</x:v>
      </x:c>
      <x:c r="N113" s="13" t="n">
        <x:v>45843</x:v>
      </x:c>
      <x:c r="O113" s="14" t="n">
        <x:v>15355.8</x:v>
      </x:c>
      <x:c r="P113" s="14" t="n">
        <x:v>100</x:v>
      </x:c>
      <x:c r="Q113" s="14" t="n">
        <x:v>0</x:v>
      </x:c>
      <x:c r="R113" s="14">
        <x:f>IF(D113="Receita",O113-P113+Q113,-(O113-P113+Q113))</x:f>
        <x:v>-15255.8</x:v>
      </x:c>
      <x:c r="S113" s="4" t="inlineStr">
        <x:is>
          <x:t xml:space="preserve">Projeto Sigma</x:t>
        </x:is>
      </x:c>
      <x:c r="T113" s="4" t="inlineStr">
        <x:is>
          <x:t xml:space="preserve">Pagamento parcial</x:t>
        </x:is>
      </x:c>
    </x:row>
    <x:row r="114">
      <x:c r="A114" s="4" t="n">
        <x:v>113</x:v>
      </x:c>
      <x:c r="B114" s="13" t="n">
        <x:v>45818</x:v>
      </x:c>
      <x:c r="C114" s="4" t="inlineStr">
        <x:is>
          <x:t xml:space="preserve">2025-06</x:t>
        </x:is>
      </x:c>
      <x:c r="D114" s="4" t="inlineStr">
        <x:is>
          <x:t xml:space="preserve">Despesa</x:t>
        </x:is>
      </x:c>
      <x:c r="E114" s="4" t="inlineStr">
        <x:is>
          <x:t xml:space="preserve">Operacional</x:t>
        </x:is>
      </x:c>
      <x:c r="F114" s="4" t="inlineStr">
        <x:is>
          <x:t xml:space="preserve">Frete</x:t>
        </x:is>
      </x:c>
      <x:c r="G114" s="4" t="inlineStr">
        <x:is>
          <x:t xml:space="preserve">Operações</x:t>
        </x:is>
      </x:c>
      <x:c r="H114" s="4" t="inlineStr">
        <x:is>
          <x:t xml:space="preserve">Frete - MídiaPro</x:t>
        </x:is>
      </x:c>
      <x:c r="I114" s="4" t="inlineStr">
        <x:is>
          <x:t xml:space="preserve">MídiaPro</x:t>
        </x:is>
      </x:c>
      <x:c r="J114" s="4" t="inlineStr">
        <x:is>
          <x:t xml:space="preserve">TED</x:t>
        </x:is>
      </x:c>
      <x:c r="K114" s="4" t="inlineStr">
        <x:is>
          <x:t xml:space="preserve">Conta Investimento</x:t>
        </x:is>
      </x:c>
      <x:c r="L114" s="4" t="inlineStr">
        <x:is>
          <x:t xml:space="preserve">Pago</x:t>
        </x:is>
      </x:c>
      <x:c r="M114" s="13" t="n">
        <x:v>45832</x:v>
      </x:c>
      <x:c r="N114" s="13" t="n">
        <x:v>45832</x:v>
      </x:c>
      <x:c r="O114" s="14" t="n">
        <x:v>4561.09</x:v>
      </x:c>
      <x:c r="P114" s="14" t="n">
        <x:v>20</x:v>
      </x:c>
      <x:c r="Q114" s="14" t="n">
        <x:v>0</x:v>
      </x:c>
      <x:c r="R114" s="14">
        <x:f>IF(D114="Receita",O114-P114+Q114,-(O114-P114+Q114))</x:f>
        <x:v>-4541.09</x:v>
      </x:c>
      <x:c r="S114" s="4" t="inlineStr">
        <x:is>
          <x:t xml:space="preserve">Projeto Sigma</x:t>
        </x:is>
      </x:c>
      <x:c r="T114" s="4" t="inlineStr">
        <x:is>
          <x:t xml:space="preserve"/>
        </x:is>
      </x:c>
    </x:row>
    <x:row r="115">
      <x:c r="A115" s="4" t="n">
        <x:v>114</x:v>
      </x:c>
      <x:c r="B115" s="13" t="n">
        <x:v>45757</x:v>
      </x:c>
      <x:c r="C115" s="4" t="inlineStr">
        <x:is>
          <x:t xml:space="preserve">2025-04</x:t>
        </x:is>
      </x:c>
      <x:c r="D115" s="4" t="inlineStr">
        <x:is>
          <x:t xml:space="preserve">Despesa</x:t>
        </x:is>
      </x:c>
      <x:c r="E115" s="4" t="inlineStr">
        <x:is>
          <x:t xml:space="preserve">Folha</x:t>
        </x:is>
      </x:c>
      <x:c r="F115" s="4" t="inlineStr">
        <x:is>
          <x:t xml:space="preserve">Salários</x:t>
        </x:is>
      </x:c>
      <x:c r="G115" s="4" t="inlineStr">
        <x:is>
          <x:t xml:space="preserve">Diretoria</x:t>
        </x:is>
      </x:c>
      <x:c r="H115" s="4" t="inlineStr">
        <x:is>
          <x:t xml:space="preserve">Salários - ContaFácil</x:t>
        </x:is>
      </x:c>
      <x:c r="I115" s="4" t="inlineStr">
        <x:is>
          <x:t xml:space="preserve">ContaFácil</x:t>
        </x:is>
      </x:c>
      <x:c r="J115" s="4" t="inlineStr">
        <x:is>
          <x:t xml:space="preserve">TED</x:t>
        </x:is>
      </x:c>
      <x:c r="K115" s="4" t="inlineStr">
        <x:is>
          <x:t xml:space="preserve">Conta Investimento</x:t>
        </x:is>
      </x:c>
      <x:c r="L115" s="4" t="inlineStr">
        <x:is>
          <x:t xml:space="preserve">Atrasado</x:t>
        </x:is>
      </x:c>
      <x:c r="M115" s="13" t="n">
        <x:v>45763</x:v>
      </x:c>
      <x:c r="N115" s="13" t="n">
        <x:v>45782</x:v>
      </x:c>
      <x:c r="O115" s="14" t="n">
        <x:v>3984.44</x:v>
      </x:c>
      <x:c r="P115" s="14" t="n">
        <x:v>100</x:v>
      </x:c>
      <x:c r="Q115" s="14" t="n">
        <x:v>40</x:v>
      </x:c>
      <x:c r="R115" s="14">
        <x:f>IF(D115="Receita",O115-P115+Q115,-(O115-P115+Q115))</x:f>
        <x:v>-3924.44</x:v>
      </x:c>
      <x:c r="S115" s="4" t="inlineStr">
        <x:is>
          <x:t xml:space="preserve">Rotina</x:t>
        </x:is>
      </x:c>
      <x:c r="T115" s="4" t="inlineStr">
        <x:is>
          <x:t xml:space="preserve">Ajuste financeiro</x:t>
        </x:is>
      </x:c>
    </x:row>
    <x:row r="116">
      <x:c r="A116" s="4" t="n">
        <x:v>115</x:v>
      </x:c>
      <x:c r="B116" s="13" t="n">
        <x:v>45662</x:v>
      </x:c>
      <x:c r="C116" s="4" t="inlineStr">
        <x:is>
          <x:t xml:space="preserve">2025-01</x:t>
        </x:is>
      </x:c>
      <x:c r="D116" s="4" t="inlineStr">
        <x:is>
          <x:t xml:space="preserve">Despesa</x:t>
        </x:is>
      </x:c>
      <x:c r="E116" s="4" t="inlineStr">
        <x:is>
          <x:t xml:space="preserve">Tecnologia</x:t>
        </x:is>
      </x:c>
      <x:c r="F116" s="4" t="inlineStr">
        <x:is>
          <x:t xml:space="preserve">Equipamentos</x:t>
        </x:is>
      </x:c>
      <x:c r="G116" s="4" t="inlineStr">
        <x:is>
          <x:t xml:space="preserve">TI</x:t>
        </x:is>
      </x:c>
      <x:c r="H116" s="4" t="inlineStr">
        <x:is>
          <x:t xml:space="preserve">Equipamentos - ContaFácil</x:t>
        </x:is>
      </x:c>
      <x:c r="I116" s="4" t="inlineStr">
        <x:is>
          <x:t xml:space="preserve">ContaFácil</x:t>
        </x:is>
      </x:c>
      <x:c r="J116" s="4" t="inlineStr">
        <x:is>
          <x:t xml:space="preserve">PIX</x:t>
        </x:is>
      </x:c>
      <x:c r="K116" s="4" t="inlineStr">
        <x:is>
          <x:t xml:space="preserve">Caixa</x:t>
        </x:is>
      </x:c>
      <x:c r="L116" s="4" t="inlineStr">
        <x:is>
          <x:t xml:space="preserve">Pendente</x:t>
        </x:is>
      </x:c>
      <x:c r="M116" s="13" t="n">
        <x:v>45667</x:v>
      </x:c>
      <x:c r="N116" s="13" t="n"/>
      <x:c r="O116" s="14" t="n">
        <x:v>13378.61</x:v>
      </x:c>
      <x:c r="P116" s="14" t="n">
        <x:v>20</x:v>
      </x:c>
      <x:c r="Q116" s="14" t="n">
        <x:v>0</x:v>
      </x:c>
      <x:c r="R116" s="14">
        <x:f>IF(D116="Receita",O116-P116+Q116,-(O116-P116+Q116))</x:f>
        <x:v>-13358.61</x:v>
      </x:c>
      <x:c r="S116" s="4" t="inlineStr">
        <x:is>
          <x:t xml:space="preserve">Projeto Aurora</x:t>
        </x:is>
      </x:c>
      <x:c r="T116" s="4" t="inlineStr">
        <x:is>
          <x:t xml:space="preserve">Pagamento parcial</x:t>
        </x:is>
      </x:c>
    </x:row>
    <x:row r="117">
      <x:c r="A117" s="4" t="n">
        <x:v>116</x:v>
      </x:c>
      <x:c r="B117" s="13" t="n">
        <x:v>45728</x:v>
      </x:c>
      <x:c r="C117" s="4" t="inlineStr">
        <x:is>
          <x:t xml:space="preserve">2025-03</x:t>
        </x:is>
      </x:c>
      <x:c r="D117" s="4" t="inlineStr">
        <x:is>
          <x:t xml:space="preserve">Despesa</x:t>
        </x:is>
      </x:c>
      <x:c r="E117" s="4" t="inlineStr">
        <x:is>
          <x:t xml:space="preserve">Folha</x:t>
        </x:is>
      </x:c>
      <x:c r="F117" s="4" t="inlineStr">
        <x:is>
          <x:t xml:space="preserve">Salários</x:t>
        </x:is>
      </x:c>
      <x:c r="G117" s="4" t="inlineStr">
        <x:is>
          <x:t xml:space="preserve">TI</x:t>
        </x:is>
      </x:c>
      <x:c r="H117" s="4" t="inlineStr">
        <x:is>
          <x:t xml:space="preserve">Salários - Fornecedor Nexus</x:t>
        </x:is>
      </x:c>
      <x:c r="I117" s="4" t="inlineStr">
        <x:is>
          <x:t xml:space="preserve">Fornecedor Nexus</x:t>
        </x:is>
      </x:c>
      <x:c r="J117" s="4" t="inlineStr">
        <x:is>
          <x:t xml:space="preserve">Cartão</x:t>
        </x:is>
      </x:c>
      <x:c r="K117" s="4" t="inlineStr">
        <x:is>
          <x:t xml:space="preserve">Cartão Corporativo</x:t>
        </x:is>
      </x:c>
      <x:c r="L117" s="4" t="inlineStr">
        <x:is>
          <x:t xml:space="preserve">Atrasado</x:t>
        </x:is>
      </x:c>
      <x:c r="M117" s="13" t="n">
        <x:v>45739</x:v>
      </x:c>
      <x:c r="N117" s="13" t="n">
        <x:v>45747</x:v>
      </x:c>
      <x:c r="O117" s="14" t="n">
        <x:v>16484.61</x:v>
      </x:c>
      <x:c r="P117" s="14" t="n">
        <x:v>100</x:v>
      </x:c>
      <x:c r="Q117" s="14" t="n">
        <x:v>25</x:v>
      </x:c>
      <x:c r="R117" s="14">
        <x:f>IF(D117="Receita",O117-P117+Q117,-(O117-P117+Q117))</x:f>
        <x:v>-16409.61</x:v>
      </x:c>
      <x:c r="S117" s="4" t="inlineStr">
        <x:is>
          <x:t xml:space="preserve">Expansão</x:t>
        </x:is>
      </x:c>
      <x:c r="T117" s="4" t="inlineStr">
        <x:is>
          <x:t xml:space="preserve">Renovação anual</x:t>
        </x:is>
      </x:c>
    </x:row>
    <x:row r="118">
      <x:c r="A118" s="4" t="n">
        <x:v>117</x:v>
      </x:c>
      <x:c r="B118" s="13" t="n">
        <x:v>45758</x:v>
      </x:c>
      <x:c r="C118" s="4" t="inlineStr">
        <x:is>
          <x:t xml:space="preserve">2025-04</x:t>
        </x:is>
      </x:c>
      <x:c r="D118" s="4" t="inlineStr">
        <x:is>
          <x:t xml:space="preserve">Despesa</x:t>
        </x:is>
      </x:c>
      <x:c r="E118" s="4" t="inlineStr">
        <x:is>
          <x:t xml:space="preserve">Marketing</x:t>
        </x:is>
      </x:c>
      <x:c r="F118" s="4" t="inlineStr">
        <x:is>
          <x:t xml:space="preserve">Anúncios</x:t>
        </x:is>
      </x:c>
      <x:c r="G118" s="4" t="inlineStr">
        <x:is>
          <x:t xml:space="preserve">Operações</x:t>
        </x:is>
      </x:c>
      <x:c r="H118" s="4" t="inlineStr">
        <x:is>
          <x:t xml:space="preserve">Anúncios - Fornecedor Nexus</x:t>
        </x:is>
      </x:c>
      <x:c r="I118" s="4" t="inlineStr">
        <x:is>
          <x:t xml:space="preserve">Fornecedor Nexus</x:t>
        </x:is>
      </x:c>
      <x:c r="J118" s="4" t="inlineStr">
        <x:is>
          <x:t xml:space="preserve">Cartão</x:t>
        </x:is>
      </x:c>
      <x:c r="K118" s="4" t="inlineStr">
        <x:is>
          <x:t xml:space="preserve">Cartão Corporativo</x:t>
        </x:is>
      </x:c>
      <x:c r="L118" s="4" t="inlineStr">
        <x:is>
          <x:t xml:space="preserve">Pago</x:t>
        </x:is>
      </x:c>
      <x:c r="M118" s="13" t="n">
        <x:v>45765</x:v>
      </x:c>
      <x:c r="N118" s="13" t="n">
        <x:v>45765</x:v>
      </x:c>
      <x:c r="O118" s="14" t="n">
        <x:v>8487.32</x:v>
      </x:c>
      <x:c r="P118" s="14" t="n">
        <x:v>50</x:v>
      </x:c>
      <x:c r="Q118" s="14" t="n">
        <x:v>25</x:v>
      </x:c>
      <x:c r="R118" s="14">
        <x:f>IF(D118="Receita",O118-P118+Q118,-(O118-P118+Q118))</x:f>
        <x:v>-8462.32</x:v>
      </x:c>
      <x:c r="S118" s="4" t="inlineStr">
        <x:is>
          <x:t xml:space="preserve">Rotina</x:t>
        </x:is>
      </x:c>
      <x:c r="T118" s="4" t="inlineStr">
        <x:is>
          <x:t xml:space="preserve">Pagamento parcial</x:t>
        </x:is>
      </x:c>
    </x:row>
    <x:row r="119">
      <x:c r="A119" s="4" t="n">
        <x:v>118</x:v>
      </x:c>
      <x:c r="B119" s="13" t="n">
        <x:v>45798</x:v>
      </x:c>
      <x:c r="C119" s="4" t="inlineStr">
        <x:is>
          <x:t xml:space="preserve">2025-05</x:t>
        </x:is>
      </x:c>
      <x:c r="D119" s="4" t="inlineStr">
        <x:is>
          <x:t xml:space="preserve">Despesa</x:t>
        </x:is>
      </x:c>
      <x:c r="E119" s="4" t="inlineStr">
        <x:is>
          <x:t xml:space="preserve">Operacional</x:t>
        </x:is>
      </x:c>
      <x:c r="F119" s="4" t="inlineStr">
        <x:is>
          <x:t xml:space="preserve">Manutenção</x:t>
        </x:is>
      </x:c>
      <x:c r="G119" s="4" t="inlineStr">
        <x:is>
          <x:t xml:space="preserve">Backoffice</x:t>
        </x:is>
      </x:c>
      <x:c r="H119" s="4" t="inlineStr">
        <x:is>
          <x:t xml:space="preserve">Manutenção - CloudFast</x:t>
        </x:is>
      </x:c>
      <x:c r="I119" s="4" t="inlineStr">
        <x:is>
          <x:t xml:space="preserve">CloudFast</x:t>
        </x:is>
      </x:c>
      <x:c r="J119" s="4" t="inlineStr">
        <x:is>
          <x:t xml:space="preserve">TED</x:t>
        </x:is>
      </x:c>
      <x:c r="K119" s="4" t="inlineStr">
        <x:is>
          <x:t xml:space="preserve">Banco Principal</x:t>
        </x:is>
      </x:c>
      <x:c r="L119" s="4" t="inlineStr">
        <x:is>
          <x:t xml:space="preserve">Pago</x:t>
        </x:is>
      </x:c>
      <x:c r="M119" s="13" t="n">
        <x:v>45811</x:v>
      </x:c>
      <x:c r="N119" s="13" t="n">
        <x:v>45811</x:v>
      </x:c>
      <x:c r="O119" s="14" t="n">
        <x:v>12699.27</x:v>
      </x:c>
      <x:c r="P119" s="14" t="n">
        <x:v>100</x:v>
      </x:c>
      <x:c r="Q119" s="14" t="n">
        <x:v>0</x:v>
      </x:c>
      <x:c r="R119" s="14">
        <x:f>IF(D119="Receita",O119-P119+Q119,-(O119-P119+Q119))</x:f>
        <x:v>-12599.27</x:v>
      </x:c>
      <x:c r="S119" s="4" t="inlineStr">
        <x:is>
          <x:t xml:space="preserve">Projeto Sigma</x:t>
        </x:is>
      </x:c>
      <x:c r="T119" s="4" t="inlineStr">
        <x:is>
          <x:t xml:space="preserve">Pagamento parcial</x:t>
        </x:is>
      </x:c>
    </x:row>
    <x:row r="120">
      <x:c r="A120" s="4" t="n">
        <x:v>119</x:v>
      </x:c>
      <x:c r="B120" s="13" t="n">
        <x:v>45720</x:v>
      </x:c>
      <x:c r="C120" s="4" t="inlineStr">
        <x:is>
          <x:t xml:space="preserve">2025-03</x:t>
        </x:is>
      </x:c>
      <x:c r="D120" s="4" t="inlineStr">
        <x:is>
          <x:t xml:space="preserve">Despesa</x:t>
        </x:is>
      </x:c>
      <x:c r="E120" s="4" t="inlineStr">
        <x:is>
          <x:t xml:space="preserve">Tecnologia</x:t>
        </x:is>
      </x:c>
      <x:c r="F120" s="4" t="inlineStr">
        <x:is>
          <x:t xml:space="preserve">Licenças</x:t>
        </x:is>
      </x:c>
      <x:c r="G120" s="4" t="inlineStr">
        <x:is>
          <x:t xml:space="preserve">TI</x:t>
        </x:is>
      </x:c>
      <x:c r="H120" s="4" t="inlineStr">
        <x:is>
          <x:t xml:space="preserve">Licenças - MídiaPro</x:t>
        </x:is>
      </x:c>
      <x:c r="I120" s="4" t="inlineStr">
        <x:is>
          <x:t xml:space="preserve">MídiaPro</x:t>
        </x:is>
      </x:c>
      <x:c r="J120" s="4" t="inlineStr">
        <x:is>
          <x:t xml:space="preserve">Cartão</x:t>
        </x:is>
      </x:c>
      <x:c r="K120" s="4" t="inlineStr">
        <x:is>
          <x:t xml:space="preserve">Cartão Corporativo</x:t>
        </x:is>
      </x:c>
      <x:c r="L120" s="4" t="inlineStr">
        <x:is>
          <x:t xml:space="preserve">Pago</x:t>
        </x:is>
      </x:c>
      <x:c r="M120" s="13" t="n">
        <x:v>45731</x:v>
      </x:c>
      <x:c r="N120" s="13" t="n">
        <x:v>45731</x:v>
      </x:c>
      <x:c r="O120" s="14" t="n">
        <x:v>11250.68</x:v>
      </x:c>
      <x:c r="P120" s="14" t="n">
        <x:v>0</x:v>
      </x:c>
      <x:c r="Q120" s="14" t="n">
        <x:v>25</x:v>
      </x:c>
      <x:c r="R120" s="14">
        <x:f>IF(D120="Receita",O120-P120+Q120,-(O120-P120+Q120))</x:f>
        <x:v>-11275.68</x:v>
      </x:c>
      <x:c r="S120" s="4" t="inlineStr">
        <x:is>
          <x:t xml:space="preserve">Projeto Aurora</x:t>
        </x:is>
      </x:c>
      <x:c r="T120" s="4" t="inlineStr">
        <x:is>
          <x:t xml:space="preserve"/>
        </x:is>
      </x:c>
    </x:row>
    <x:row r="121">
      <x:c r="A121" s="4" t="n">
        <x:v>120</x:v>
      </x:c>
      <x:c r="B121" s="13" t="n">
        <x:v>45802</x:v>
      </x:c>
      <x:c r="C121" s="4" t="inlineStr">
        <x:is>
          <x:t xml:space="preserve">2025-05</x:t>
        </x:is>
      </x:c>
      <x:c r="D121" s="4" t="inlineStr">
        <x:is>
          <x:t xml:space="preserve">Despesa</x:t>
        </x:is>
      </x:c>
      <x:c r="E121" s="4" t="inlineStr">
        <x:is>
          <x:t xml:space="preserve">Marketing</x:t>
        </x:is>
      </x:c>
      <x:c r="F121" s="4" t="inlineStr">
        <x:is>
          <x:t xml:space="preserve">Design</x:t>
        </x:is>
      </x:c>
      <x:c r="G121" s="4" t="inlineStr">
        <x:is>
          <x:t xml:space="preserve">Diretoria</x:t>
        </x:is>
      </x:c>
      <x:c r="H121" s="4" t="inlineStr">
        <x:is>
          <x:t xml:space="preserve">Design - ContaFácil</x:t>
        </x:is>
      </x:c>
      <x:c r="I121" s="4" t="inlineStr">
        <x:is>
          <x:t xml:space="preserve">ContaFácil</x:t>
        </x:is>
      </x:c>
      <x:c r="J121" s="4" t="inlineStr">
        <x:is>
          <x:t xml:space="preserve">Cartão</x:t>
        </x:is>
      </x:c>
      <x:c r="K121" s="4" t="inlineStr">
        <x:is>
          <x:t xml:space="preserve">Banco Principal</x:t>
        </x:is>
      </x:c>
      <x:c r="L121" s="4" t="inlineStr">
        <x:is>
          <x:t xml:space="preserve">Pago</x:t>
        </x:is>
      </x:c>
      <x:c r="M121" s="13" t="n">
        <x:v>45804</x:v>
      </x:c>
      <x:c r="N121" s="13" t="n">
        <x:v>45804</x:v>
      </x:c>
      <x:c r="O121" s="14" t="n">
        <x:v>348.55</x:v>
      </x:c>
      <x:c r="P121" s="14" t="n">
        <x:v>0</x:v>
      </x:c>
      <x:c r="Q121" s="14" t="n">
        <x:v>0</x:v>
      </x:c>
      <x:c r="R121" s="14">
        <x:f>IF(D121="Receita",O121-P121+Q121,-(O121-P121+Q121))</x:f>
        <x:v>-348.55</x:v>
      </x:c>
      <x:c r="S121" s="4" t="inlineStr">
        <x:is>
          <x:t xml:space="preserve">Expansão</x:t>
        </x:is>
      </x:c>
      <x:c r="T121" s="4" t="inlineStr">
        <x:is>
          <x:t xml:space="preserve">Renovação anual</x:t>
        </x:is>
      </x:c>
    </x:row>
    <x:row r="122">
      <x:c r="A122" s="4" t="n">
        <x:v>121</x:v>
      </x:c>
      <x:c r="B122" s="13" t="n">
        <x:v>45717</x:v>
      </x:c>
      <x:c r="C122" s="4" t="inlineStr">
        <x:is>
          <x:t xml:space="preserve">2025-03</x:t>
        </x:is>
      </x:c>
      <x:c r="D122" s="4" t="inlineStr">
        <x:is>
          <x:t xml:space="preserve">Receita</x:t>
        </x:is>
      </x:c>
      <x:c r="E122" s="4" t="inlineStr">
        <x:is>
          <x:t xml:space="preserve">Receita Financeira</x:t>
        </x:is>
      </x:c>
      <x:c r="F122" s="4" t="inlineStr">
        <x:is>
          <x:t xml:space="preserve">Juros Recebidos</x:t>
        </x:is>
      </x:c>
      <x:c r="G122" s="4" t="inlineStr">
        <x:is>
          <x:t xml:space="preserve">Comercial</x:t>
        </x:is>
      </x:c>
      <x:c r="H122" s="4" t="inlineStr">
        <x:is>
          <x:t xml:space="preserve">Juros Recebidos - Cliente Beta</x:t>
        </x:is>
      </x:c>
      <x:c r="I122" s="4" t="inlineStr">
        <x:is>
          <x:t xml:space="preserve">Cliente Beta</x:t>
        </x:is>
      </x:c>
      <x:c r="J122" s="4" t="inlineStr">
        <x:is>
          <x:t xml:space="preserve">PIX</x:t>
        </x:is>
      </x:c>
      <x:c r="K122" s="4" t="inlineStr">
        <x:is>
          <x:t xml:space="preserve">Caixa</x:t>
        </x:is>
      </x:c>
      <x:c r="L122" s="4" t="inlineStr">
        <x:is>
          <x:t xml:space="preserve">Atrasado</x:t>
        </x:is>
      </x:c>
      <x:c r="M122" s="13" t="n">
        <x:v>45722</x:v>
      </x:c>
      <x:c r="N122" s="13" t="n"/>
      <x:c r="O122" s="14" t="n">
        <x:v>8486.120000000001</x:v>
      </x:c>
      <x:c r="P122" s="14" t="n">
        <x:v>424.31</x:v>
      </x:c>
      <x:c r="Q122" s="14" t="n">
        <x:v>30</x:v>
      </x:c>
      <x:c r="R122" s="14">
        <x:f>IF(D122="Receita",O122-P122+Q122,-(O122-P122+Q122))</x:f>
        <x:v>8091.81</x:v>
      </x:c>
      <x:c r="S122" s="4" t="inlineStr">
        <x:is>
          <x:t xml:space="preserve">Projeto Atlas</x:t>
        </x:is>
      </x:c>
      <x:c r="T122" s="4" t="inlineStr">
        <x:is>
          <x:t xml:space="preserve">Contrato recorrente</x:t>
        </x:is>
      </x:c>
    </x:row>
    <x:row r="123">
      <x:c r="A123" s="4" t="n">
        <x:v>122</x:v>
      </x:c>
      <x:c r="B123" s="13" t="n">
        <x:v>45835</x:v>
      </x:c>
      <x:c r="C123" s="4" t="inlineStr">
        <x:is>
          <x:t xml:space="preserve">2025-06</x:t>
        </x:is>
      </x:c>
      <x:c r="D123" s="4" t="inlineStr">
        <x:is>
          <x:t xml:space="preserve">Receita</x:t>
        </x:is>
      </x:c>
      <x:c r="E123" s="4" t="inlineStr">
        <x:is>
          <x:t xml:space="preserve">Vendas</x:t>
        </x:is>
      </x:c>
      <x:c r="F123" s="4" t="inlineStr">
        <x:is>
          <x:t xml:space="preserve">Assinatura Mensal</x:t>
        </x:is>
      </x:c>
      <x:c r="G123" s="4" t="inlineStr">
        <x:is>
          <x:t xml:space="preserve">Comercial</x:t>
        </x:is>
      </x:c>
      <x:c r="H123" s="4" t="inlineStr">
        <x:is>
          <x:t xml:space="preserve">Assinatura Mensal - Cliente Alfa</x:t>
        </x:is>
      </x:c>
      <x:c r="I123" s="4" t="inlineStr">
        <x:is>
          <x:t xml:space="preserve">Cliente Alfa</x:t>
        </x:is>
      </x:c>
      <x:c r="J123" s="4" t="inlineStr">
        <x:is>
          <x:t xml:space="preserve">TED</x:t>
        </x:is>
      </x:c>
      <x:c r="K123" s="4" t="inlineStr">
        <x:is>
          <x:t xml:space="preserve">Cartão Corporativo</x:t>
        </x:is>
      </x:c>
      <x:c r="L123" s="4" t="inlineStr">
        <x:is>
          <x:t xml:space="preserve">Pago</x:t>
        </x:is>
      </x:c>
      <x:c r="M123" s="13" t="n">
        <x:v>45842</x:v>
      </x:c>
      <x:c r="N123" s="13" t="n">
        <x:v>45842</x:v>
      </x:c>
      <x:c r="O123" s="14" t="n">
        <x:v>20094.64</x:v>
      </x:c>
      <x:c r="P123" s="14" t="n">
        <x:v>401.89</x:v>
      </x:c>
      <x:c r="Q123" s="14" t="n">
        <x:v>15</x:v>
      </x:c>
      <x:c r="R123" s="14">
        <x:f>IF(D123="Receita",O123-P123+Q123,-(O123-P123+Q123))</x:f>
        <x:v>19707.75</x:v>
      </x:c>
      <x:c r="S123" s="4" t="inlineStr">
        <x:is>
          <x:t xml:space="preserve">Expansão</x:t>
        </x:is>
      </x:c>
      <x:c r="T123" s="4" t="inlineStr">
        <x:is>
          <x:t xml:space="preserve"/>
        </x:is>
      </x:c>
    </x:row>
    <x:row r="124">
      <x:c r="A124" s="4" t="n">
        <x:v>123</x:v>
      </x:c>
      <x:c r="B124" s="13" t="n">
        <x:v>45781</x:v>
      </x:c>
      <x:c r="C124" s="4" t="inlineStr">
        <x:is>
          <x:t xml:space="preserve">2025-05</x:t>
        </x:is>
      </x:c>
      <x:c r="D124" s="4" t="inlineStr">
        <x:is>
          <x:t xml:space="preserve">Despesa</x:t>
        </x:is>
      </x:c>
      <x:c r="E124" s="4" t="inlineStr">
        <x:is>
          <x:t xml:space="preserve">Marketing</x:t>
        </x:is>
      </x:c>
      <x:c r="F124" s="4" t="inlineStr">
        <x:is>
          <x:t xml:space="preserve">Design</x:t>
        </x:is>
      </x:c>
      <x:c r="G124" s="4" t="inlineStr">
        <x:is>
          <x:t xml:space="preserve">Operações</x:t>
        </x:is>
      </x:c>
      <x:c r="H124" s="4" t="inlineStr">
        <x:is>
          <x:t xml:space="preserve">Design - MídiaPro</x:t>
        </x:is>
      </x:c>
      <x:c r="I124" s="4" t="inlineStr">
        <x:is>
          <x:t xml:space="preserve">MídiaPro</x:t>
        </x:is>
      </x:c>
      <x:c r="J124" s="4" t="inlineStr">
        <x:is>
          <x:t xml:space="preserve">Cartão</x:t>
        </x:is>
      </x:c>
      <x:c r="K124" s="4" t="inlineStr">
        <x:is>
          <x:t xml:space="preserve">Cartão Corporativo</x:t>
        </x:is>
      </x:c>
      <x:c r="L124" s="4" t="inlineStr">
        <x:is>
          <x:t xml:space="preserve">Pago</x:t>
        </x:is>
      </x:c>
      <x:c r="M124" s="13" t="n">
        <x:v>45781</x:v>
      </x:c>
      <x:c r="N124" s="13" t="n">
        <x:v>45781</x:v>
      </x:c>
      <x:c r="O124" s="14" t="n">
        <x:v>9007.309999999999</x:v>
      </x:c>
      <x:c r="P124" s="14" t="n">
        <x:v>50</x:v>
      </x:c>
      <x:c r="Q124" s="14" t="n">
        <x:v>10</x:v>
      </x:c>
      <x:c r="R124" s="14">
        <x:f>IF(D124="Receita",O124-P124+Q124,-(O124-P124+Q124))</x:f>
        <x:v>-8967.31</x:v>
      </x:c>
      <x:c r="S124" s="4" t="inlineStr">
        <x:is>
          <x:t xml:space="preserve">Expansão</x:t>
        </x:is>
      </x:c>
      <x:c r="T124" s="4" t="inlineStr">
        <x:is>
          <x:t xml:space="preserve">Contrato recorrente</x:t>
        </x:is>
      </x:c>
    </x:row>
    <x:row r="125">
      <x:c r="A125" s="4" t="n">
        <x:v>124</x:v>
      </x:c>
      <x:c r="B125" s="13" t="n">
        <x:v>45828</x:v>
      </x:c>
      <x:c r="C125" s="4" t="inlineStr">
        <x:is>
          <x:t xml:space="preserve">2025-06</x:t>
        </x:is>
      </x:c>
      <x:c r="D125" s="4" t="inlineStr">
        <x:is>
          <x:t xml:space="preserve">Receita</x:t>
        </x:is>
      </x:c>
      <x:c r="E125" s="4" t="inlineStr">
        <x:is>
          <x:t xml:space="preserve">Receita Financeira</x:t>
        </x:is>
      </x:c>
      <x:c r="F125" s="4" t="inlineStr">
        <x:is>
          <x:t xml:space="preserve">Juros Recebidos</x:t>
        </x:is>
      </x:c>
      <x:c r="G125" s="4" t="inlineStr">
        <x:is>
          <x:t xml:space="preserve">Comercial</x:t>
        </x:is>
      </x:c>
      <x:c r="H125" s="4" t="inlineStr">
        <x:is>
          <x:t xml:space="preserve">Juros Recebidos - Cliente Delta</x:t>
        </x:is>
      </x:c>
      <x:c r="I125" s="4" t="inlineStr">
        <x:is>
          <x:t xml:space="preserve">Cliente Delta</x:t>
        </x:is>
      </x:c>
      <x:c r="J125" s="4" t="inlineStr">
        <x:is>
          <x:t xml:space="preserve">PIX</x:t>
        </x:is>
      </x:c>
      <x:c r="K125" s="4" t="inlineStr">
        <x:is>
          <x:t xml:space="preserve">Banco Principal</x:t>
        </x:is>
      </x:c>
      <x:c r="L125" s="4" t="inlineStr">
        <x:is>
          <x:t xml:space="preserve">Pago</x:t>
        </x:is>
      </x:c>
      <x:c r="M125" s="13" t="n">
        <x:v>45848</x:v>
      </x:c>
      <x:c r="N125" s="13" t="n">
        <x:v>45848</x:v>
      </x:c>
      <x:c r="O125" s="14" t="n">
        <x:v>15530.36</x:v>
      </x:c>
      <x:c r="P125" s="14" t="n">
        <x:v>0</x:v>
      </x:c>
      <x:c r="Q125" s="14" t="n">
        <x:v>0</x:v>
      </x:c>
      <x:c r="R125" s="14">
        <x:f>IF(D125="Receita",O125-P125+Q125,-(O125-P125+Q125))</x:f>
        <x:v>15530.36</x:v>
      </x:c>
      <x:c r="S125" s="4" t="inlineStr">
        <x:is>
          <x:t xml:space="preserve">Expansão</x:t>
        </x:is>
      </x:c>
      <x:c r="T125" s="4" t="inlineStr">
        <x:is>
          <x:t xml:space="preserve"/>
        </x:is>
      </x:c>
    </x:row>
    <x:row r="126">
      <x:c r="A126" s="4" t="n">
        <x:v>125</x:v>
      </x:c>
      <x:c r="B126" s="13" t="n">
        <x:v>45832</x:v>
      </x:c>
      <x:c r="C126" s="4" t="inlineStr">
        <x:is>
          <x:t xml:space="preserve">2025-06</x:t>
        </x:is>
      </x:c>
      <x:c r="D126" s="4" t="inlineStr">
        <x:is>
          <x:t xml:space="preserve">Despesa</x:t>
        </x:is>
      </x:c>
      <x:c r="E126" s="4" t="inlineStr">
        <x:is>
          <x:t xml:space="preserve">Tecnologia</x:t>
        </x:is>
      </x:c>
      <x:c r="F126" s="4" t="inlineStr">
        <x:is>
          <x:t xml:space="preserve">Cloud</x:t>
        </x:is>
      </x:c>
      <x:c r="G126" s="4" t="inlineStr">
        <x:is>
          <x:t xml:space="preserve">TI</x:t>
        </x:is>
      </x:c>
      <x:c r="H126" s="4" t="inlineStr">
        <x:is>
          <x:t xml:space="preserve">Cloud - OfficePlus</x:t>
        </x:is>
      </x:c>
      <x:c r="I126" s="4" t="inlineStr">
        <x:is>
          <x:t xml:space="preserve">OfficePlus</x:t>
        </x:is>
      </x:c>
      <x:c r="J126" s="4" t="inlineStr">
        <x:is>
          <x:t xml:space="preserve">Boleto</x:t>
        </x:is>
      </x:c>
      <x:c r="K126" s="4" t="inlineStr">
        <x:is>
          <x:t xml:space="preserve">Caixa</x:t>
        </x:is>
      </x:c>
      <x:c r="L126" s="4" t="inlineStr">
        <x:is>
          <x:t xml:space="preserve">Pendente</x:t>
        </x:is>
      </x:c>
      <x:c r="M126" s="13" t="n">
        <x:v>45838</x:v>
      </x:c>
      <x:c r="N126" s="13" t="n"/>
      <x:c r="O126" s="14" t="n">
        <x:v>8765.389999999999</x:v>
      </x:c>
      <x:c r="P126" s="14" t="n">
        <x:v>0</x:v>
      </x:c>
      <x:c r="Q126" s="14" t="n">
        <x:v>0</x:v>
      </x:c>
      <x:c r="R126" s="14">
        <x:f>IF(D126="Receita",O126-P126+Q126,-(O126-P126+Q126))</x:f>
        <x:v>-8765.39</x:v>
      </x:c>
      <x:c r="S126" s="4" t="inlineStr">
        <x:is>
          <x:t xml:space="preserve">Projeto Aurora</x:t>
        </x:is>
      </x:c>
      <x:c r="T126" s="4" t="inlineStr">
        <x:is>
          <x:t xml:space="preserve">Sem observações</x:t>
        </x:is>
      </x:c>
    </x:row>
    <x:row r="127">
      <x:c r="A127" s="4" t="n">
        <x:v>126</x:v>
      </x:c>
      <x:c r="B127" s="13" t="n">
        <x:v>45751</x:v>
      </x:c>
      <x:c r="C127" s="4" t="inlineStr">
        <x:is>
          <x:t xml:space="preserve">2025-04</x:t>
        </x:is>
      </x:c>
      <x:c r="D127" s="4" t="inlineStr">
        <x:is>
          <x:t xml:space="preserve">Despesa</x:t>
        </x:is>
      </x:c>
      <x:c r="E127" s="4" t="inlineStr">
        <x:is>
          <x:t xml:space="preserve">Administrativo</x:t>
        </x:is>
      </x:c>
      <x:c r="F127" s="4" t="inlineStr">
        <x:is>
          <x:t xml:space="preserve">Jurídico</x:t>
        </x:is>
      </x:c>
      <x:c r="G127" s="4" t="inlineStr">
        <x:is>
          <x:t xml:space="preserve">TI</x:t>
        </x:is>
      </x:c>
      <x:c r="H127" s="4" t="inlineStr">
        <x:is>
          <x:t xml:space="preserve">Jurídico - ContaFácil</x:t>
        </x:is>
      </x:c>
      <x:c r="I127" s="4" t="inlineStr">
        <x:is>
          <x:t xml:space="preserve">ContaFácil</x:t>
        </x:is>
      </x:c>
      <x:c r="J127" s="4" t="inlineStr">
        <x:is>
          <x:t xml:space="preserve">Cartão</x:t>
        </x:is>
      </x:c>
      <x:c r="K127" s="4" t="inlineStr">
        <x:is>
          <x:t xml:space="preserve">Caixa</x:t>
        </x:is>
      </x:c>
      <x:c r="L127" s="4" t="inlineStr">
        <x:is>
          <x:t xml:space="preserve">Pago</x:t>
        </x:is>
      </x:c>
      <x:c r="M127" s="13" t="n">
        <x:v>45752</x:v>
      </x:c>
      <x:c r="N127" s="13" t="n">
        <x:v>45752</x:v>
      </x:c>
      <x:c r="O127" s="14" t="n">
        <x:v>6207.84</x:v>
      </x:c>
      <x:c r="P127" s="14" t="n">
        <x:v>0</x:v>
      </x:c>
      <x:c r="Q127" s="14" t="n">
        <x:v>10</x:v>
      </x:c>
      <x:c r="R127" s="14">
        <x:f>IF(D127="Receita",O127-P127+Q127,-(O127-P127+Q127))</x:f>
        <x:v>-6217.84</x:v>
      </x:c>
      <x:c r="S127" s="4" t="inlineStr">
        <x:is>
          <x:t xml:space="preserve">Rotina</x:t>
        </x:is>
      </x:c>
      <x:c r="T127" s="4" t="inlineStr">
        <x:is>
          <x:t xml:space="preserve">Contrato recorrente</x:t>
        </x:is>
      </x:c>
    </x:row>
    <x:row r="128">
      <x:c r="A128" s="4" t="n">
        <x:v>127</x:v>
      </x:c>
      <x:c r="B128" s="13" t="n">
        <x:v>45743</x:v>
      </x:c>
      <x:c r="C128" s="4" t="inlineStr">
        <x:is>
          <x:t xml:space="preserve">2025-03</x:t>
        </x:is>
      </x:c>
      <x:c r="D128" s="4" t="inlineStr">
        <x:is>
          <x:t xml:space="preserve">Despesa</x:t>
        </x:is>
      </x:c>
      <x:c r="E128" s="4" t="inlineStr">
        <x:is>
          <x:t xml:space="preserve">Tecnologia</x:t>
        </x:is>
      </x:c>
      <x:c r="F128" s="4" t="inlineStr">
        <x:is>
          <x:t xml:space="preserve">Equipamentos</x:t>
        </x:is>
      </x:c>
      <x:c r="G128" s="4" t="inlineStr">
        <x:is>
          <x:t xml:space="preserve">Operações</x:t>
        </x:is>
      </x:c>
      <x:c r="H128" s="4" t="inlineStr">
        <x:is>
          <x:t xml:space="preserve">Equipamentos - ContaFácil</x:t>
        </x:is>
      </x:c>
      <x:c r="I128" s="4" t="inlineStr">
        <x:is>
          <x:t xml:space="preserve">ContaFácil</x:t>
        </x:is>
      </x:c>
      <x:c r="J128" s="4" t="inlineStr">
        <x:is>
          <x:t xml:space="preserve">Cartão</x:t>
        </x:is>
      </x:c>
      <x:c r="K128" s="4" t="inlineStr">
        <x:is>
          <x:t xml:space="preserve">Conta Investimento</x:t>
        </x:is>
      </x:c>
      <x:c r="L128" s="4" t="inlineStr">
        <x:is>
          <x:t xml:space="preserve">Pago</x:t>
        </x:is>
      </x:c>
      <x:c r="M128" s="13" t="n">
        <x:v>45749</x:v>
      </x:c>
      <x:c r="N128" s="13" t="n">
        <x:v>45749</x:v>
      </x:c>
      <x:c r="O128" s="14" t="n">
        <x:v>11809.7</x:v>
      </x:c>
      <x:c r="P128" s="14" t="n">
        <x:v>0</x:v>
      </x:c>
      <x:c r="Q128" s="14" t="n">
        <x:v>0</x:v>
      </x:c>
      <x:c r="R128" s="14">
        <x:f>IF(D128="Receita",O128-P128+Q128,-(O128-P128+Q128))</x:f>
        <x:v>-11809.7</x:v>
      </x:c>
      <x:c r="S128" s="4" t="inlineStr">
        <x:is>
          <x:t xml:space="preserve">Expansão</x:t>
        </x:is>
      </x:c>
      <x:c r="T128" s="4" t="inlineStr">
        <x:is>
          <x:t xml:space="preserve">Sem observações</x:t>
        </x:is>
      </x:c>
    </x:row>
    <x:row r="129">
      <x:c r="A129" s="4" t="n">
        <x:v>128</x:v>
      </x:c>
      <x:c r="B129" s="13" t="n">
        <x:v>45680</x:v>
      </x:c>
      <x:c r="C129" s="4" t="inlineStr">
        <x:is>
          <x:t xml:space="preserve">2025-01</x:t>
        </x:is>
      </x:c>
      <x:c r="D129" s="4" t="inlineStr">
        <x:is>
          <x:t xml:space="preserve">Despesa</x:t>
        </x:is>
      </x:c>
      <x:c r="E129" s="4" t="inlineStr">
        <x:is>
          <x:t xml:space="preserve">Folha</x:t>
        </x:is>
      </x:c>
      <x:c r="F129" s="4" t="inlineStr">
        <x:is>
          <x:t xml:space="preserve">Encargos</x:t>
        </x:is>
      </x:c>
      <x:c r="G129" s="4" t="inlineStr">
        <x:is>
          <x:t xml:space="preserve">Diretoria</x:t>
        </x:is>
      </x:c>
      <x:c r="H129" s="4" t="inlineStr">
        <x:is>
          <x:t xml:space="preserve">Encargos - EnergiaSul</x:t>
        </x:is>
      </x:c>
      <x:c r="I129" s="4" t="inlineStr">
        <x:is>
          <x:t xml:space="preserve">EnergiaSul</x:t>
        </x:is>
      </x:c>
      <x:c r="J129" s="4" t="inlineStr">
        <x:is>
          <x:t xml:space="preserve">Cartão</x:t>
        </x:is>
      </x:c>
      <x:c r="K129" s="4" t="inlineStr">
        <x:is>
          <x:t xml:space="preserve">Banco Principal</x:t>
        </x:is>
      </x:c>
      <x:c r="L129" s="4" t="inlineStr">
        <x:is>
          <x:t xml:space="preserve">Pendente</x:t>
        </x:is>
      </x:c>
      <x:c r="M129" s="13" t="n">
        <x:v>45681</x:v>
      </x:c>
      <x:c r="N129" s="13" t="n"/>
      <x:c r="O129" s="14" t="n">
        <x:v>15949.98</x:v>
      </x:c>
      <x:c r="P129" s="14" t="n">
        <x:v>50</x:v>
      </x:c>
      <x:c r="Q129" s="14" t="n">
        <x:v>10</x:v>
      </x:c>
      <x:c r="R129" s="14">
        <x:f>IF(D129="Receita",O129-P129+Q129,-(O129-P129+Q129))</x:f>
        <x:v>-15909.98</x:v>
      </x:c>
      <x:c r="S129" s="4" t="inlineStr">
        <x:is>
          <x:t xml:space="preserve">Projeto Aurora</x:t>
        </x:is>
      </x:c>
      <x:c r="T129" s="4" t="inlineStr">
        <x:is>
          <x:t xml:space="preserve"/>
        </x:is>
      </x:c>
    </x:row>
    <x:row r="130">
      <x:c r="A130" s="4" t="n">
        <x:v>129</x:v>
      </x:c>
      <x:c r="B130" s="13" t="n">
        <x:v>45706</x:v>
      </x:c>
      <x:c r="C130" s="4" t="inlineStr">
        <x:is>
          <x:t xml:space="preserve">2025-02</x:t>
        </x:is>
      </x:c>
      <x:c r="D130" s="4" t="inlineStr">
        <x:is>
          <x:t xml:space="preserve">Despesa</x:t>
        </x:is>
      </x:c>
      <x:c r="E130" s="4" t="inlineStr">
        <x:is>
          <x:t xml:space="preserve">Operacional</x:t>
        </x:is>
      </x:c>
      <x:c r="F130" s="4" t="inlineStr">
        <x:is>
          <x:t xml:space="preserve">Material de Escritório</x:t>
        </x:is>
      </x:c>
      <x:c r="G130" s="4" t="inlineStr">
        <x:is>
          <x:t xml:space="preserve">Comercial</x:t>
        </x:is>
      </x:c>
      <x:c r="H130" s="4" t="inlineStr">
        <x:is>
          <x:t xml:space="preserve">Material de Escritório - EnergiaSul</x:t>
        </x:is>
      </x:c>
      <x:c r="I130" s="4" t="inlineStr">
        <x:is>
          <x:t xml:space="preserve">EnergiaSul</x:t>
        </x:is>
      </x:c>
      <x:c r="J130" s="4" t="inlineStr">
        <x:is>
          <x:t xml:space="preserve">PIX</x:t>
        </x:is>
      </x:c>
      <x:c r="K130" s="4" t="inlineStr">
        <x:is>
          <x:t xml:space="preserve">Conta Investimento</x:t>
        </x:is>
      </x:c>
      <x:c r="L130" s="4" t="inlineStr">
        <x:is>
          <x:t xml:space="preserve">Atrasado</x:t>
        </x:is>
      </x:c>
      <x:c r="M130" s="13" t="n">
        <x:v>45718</x:v>
      </x:c>
      <x:c r="N130" s="13" t="n">
        <x:v>45738</x:v>
      </x:c>
      <x:c r="O130" s="14" t="n">
        <x:v>14219.36</x:v>
      </x:c>
      <x:c r="P130" s="14" t="n">
        <x:v>50</x:v>
      </x:c>
      <x:c r="Q130" s="14" t="n">
        <x:v>10</x:v>
      </x:c>
      <x:c r="R130" s="14">
        <x:f>IF(D130="Receita",O130-P130+Q130,-(O130-P130+Q130))</x:f>
        <x:v>-14179.36</x:v>
      </x:c>
      <x:c r="S130" s="4" t="inlineStr">
        <x:is>
          <x:t xml:space="preserve">Projeto Aurora</x:t>
        </x:is>
      </x:c>
      <x:c r="T130" s="4" t="inlineStr">
        <x:is>
          <x:t xml:space="preserve">Sem observações</x:t>
        </x:is>
      </x:c>
    </x:row>
    <x:row r="131">
      <x:c r="A131" s="4" t="n">
        <x:v>130</x:v>
      </x:c>
      <x:c r="B131" s="13" t="n">
        <x:v>45820</x:v>
      </x:c>
      <x:c r="C131" s="4" t="inlineStr">
        <x:is>
          <x:t xml:space="preserve">2025-06</x:t>
        </x:is>
      </x:c>
      <x:c r="D131" s="4" t="inlineStr">
        <x:is>
          <x:t xml:space="preserve">Despesa</x:t>
        </x:is>
      </x:c>
      <x:c r="E131" s="4" t="inlineStr">
        <x:is>
          <x:t xml:space="preserve">Marketing</x:t>
        </x:is>
      </x:c>
      <x:c r="F131" s="4" t="inlineStr">
        <x:is>
          <x:t xml:space="preserve">Anúncios</x:t>
        </x:is>
      </x:c>
      <x:c r="G131" s="4" t="inlineStr">
        <x:is>
          <x:t xml:space="preserve">Operações</x:t>
        </x:is>
      </x:c>
      <x:c r="H131" s="4" t="inlineStr">
        <x:is>
          <x:t xml:space="preserve">Anúncios - EnergiaSul</x:t>
        </x:is>
      </x:c>
      <x:c r="I131" s="4" t="inlineStr">
        <x:is>
          <x:t xml:space="preserve">EnergiaSul</x:t>
        </x:is>
      </x:c>
      <x:c r="J131" s="4" t="inlineStr">
        <x:is>
          <x:t xml:space="preserve">Cartão</x:t>
        </x:is>
      </x:c>
      <x:c r="K131" s="4" t="inlineStr">
        <x:is>
          <x:t xml:space="preserve">Conta Investimento</x:t>
        </x:is>
      </x:c>
      <x:c r="L131" s="4" t="inlineStr">
        <x:is>
          <x:t xml:space="preserve">Pago</x:t>
        </x:is>
      </x:c>
      <x:c r="M131" s="13" t="n">
        <x:v>45823</x:v>
      </x:c>
      <x:c r="N131" s="13" t="n">
        <x:v>45823</x:v>
      </x:c>
      <x:c r="O131" s="14" t="n">
        <x:v>15656.17</x:v>
      </x:c>
      <x:c r="P131" s="14" t="n">
        <x:v>20</x:v>
      </x:c>
      <x:c r="Q131" s="14" t="n">
        <x:v>40</x:v>
      </x:c>
      <x:c r="R131" s="14">
        <x:f>IF(D131="Receita",O131-P131+Q131,-(O131-P131+Q131))</x:f>
        <x:v>-15676.17</x:v>
      </x:c>
      <x:c r="S131" s="4" t="inlineStr">
        <x:is>
          <x:t xml:space="preserve">Projeto Sigma</x:t>
        </x:is>
      </x:c>
      <x:c r="T131" s="4" t="inlineStr">
        <x:is>
          <x:t xml:space="preserve">Ajuste financeiro</x:t>
        </x:is>
      </x:c>
    </x:row>
    <x:row r="132">
      <x:c r="A132" s="4" t="n">
        <x:v>131</x:v>
      </x:c>
      <x:c r="B132" s="13" t="n">
        <x:v>45724</x:v>
      </x:c>
      <x:c r="C132" s="4" t="inlineStr">
        <x:is>
          <x:t xml:space="preserve">2025-03</x:t>
        </x:is>
      </x:c>
      <x:c r="D132" s="4" t="inlineStr">
        <x:is>
          <x:t xml:space="preserve">Despesa</x:t>
        </x:is>
      </x:c>
      <x:c r="E132" s="4" t="inlineStr">
        <x:is>
          <x:t xml:space="preserve">Marketing</x:t>
        </x:is>
      </x:c>
      <x:c r="F132" s="4" t="inlineStr">
        <x:is>
          <x:t xml:space="preserve">Eventos</x:t>
        </x:is>
      </x:c>
      <x:c r="G132" s="4" t="inlineStr">
        <x:is>
          <x:t xml:space="preserve">Backoffice</x:t>
        </x:is>
      </x:c>
      <x:c r="H132" s="4" t="inlineStr">
        <x:is>
          <x:t xml:space="preserve">Eventos - Fornecedor Nexus</x:t>
        </x:is>
      </x:c>
      <x:c r="I132" s="4" t="inlineStr">
        <x:is>
          <x:t xml:space="preserve">Fornecedor Nexus</x:t>
        </x:is>
      </x:c>
      <x:c r="J132" s="4" t="inlineStr">
        <x:is>
          <x:t xml:space="preserve">TED</x:t>
        </x:is>
      </x:c>
      <x:c r="K132" s="4" t="inlineStr">
        <x:is>
          <x:t xml:space="preserve">Banco Principal</x:t>
        </x:is>
      </x:c>
      <x:c r="L132" s="4" t="inlineStr">
        <x:is>
          <x:t xml:space="preserve">Pago</x:t>
        </x:is>
      </x:c>
      <x:c r="M132" s="13" t="n">
        <x:v>45742</x:v>
      </x:c>
      <x:c r="N132" s="13" t="n">
        <x:v>45742</x:v>
      </x:c>
      <x:c r="O132" s="14" t="n">
        <x:v>445.43</x:v>
      </x:c>
      <x:c r="P132" s="14" t="n">
        <x:v>50</x:v>
      </x:c>
      <x:c r="Q132" s="14" t="n">
        <x:v>25</x:v>
      </x:c>
      <x:c r="R132" s="14">
        <x:f>IF(D132="Receita",O132-P132+Q132,-(O132-P132+Q132))</x:f>
        <x:v>-420.43</x:v>
      </x:c>
      <x:c r="S132" s="4" t="inlineStr">
        <x:is>
          <x:t xml:space="preserve">Projeto Aurora</x:t>
        </x:is>
      </x:c>
      <x:c r="T132" s="4" t="inlineStr">
        <x:is>
          <x:t xml:space="preserve">Contrato recorrente</x:t>
        </x:is>
      </x:c>
    </x:row>
    <x:row r="133">
      <x:c r="A133" s="4" t="n">
        <x:v>132</x:v>
      </x:c>
      <x:c r="B133" s="13" t="n">
        <x:v>45805</x:v>
      </x:c>
      <x:c r="C133" s="4" t="inlineStr">
        <x:is>
          <x:t xml:space="preserve">2025-05</x:t>
        </x:is>
      </x:c>
      <x:c r="D133" s="4" t="inlineStr">
        <x:is>
          <x:t xml:space="preserve">Despesa</x:t>
        </x:is>
      </x:c>
      <x:c r="E133" s="4" t="inlineStr">
        <x:is>
          <x:t xml:space="preserve">Operacional</x:t>
        </x:is>
      </x:c>
      <x:c r="F133" s="4" t="inlineStr">
        <x:is>
          <x:t xml:space="preserve">Manutenção</x:t>
        </x:is>
      </x:c>
      <x:c r="G133" s="4" t="inlineStr">
        <x:is>
          <x:t xml:space="preserve">Comercial</x:t>
        </x:is>
      </x:c>
      <x:c r="H133" s="4" t="inlineStr">
        <x:is>
          <x:t xml:space="preserve">Manutenção - Fornecedor Nexus</x:t>
        </x:is>
      </x:c>
      <x:c r="I133" s="4" t="inlineStr">
        <x:is>
          <x:t xml:space="preserve">Fornecedor Nexus</x:t>
        </x:is>
      </x:c>
      <x:c r="J133" s="4" t="inlineStr">
        <x:is>
          <x:t xml:space="preserve">TED</x:t>
        </x:is>
      </x:c>
      <x:c r="K133" s="4" t="inlineStr">
        <x:is>
          <x:t xml:space="preserve">Banco Principal</x:t>
        </x:is>
      </x:c>
      <x:c r="L133" s="4" t="inlineStr">
        <x:is>
          <x:t xml:space="preserve">Pendente</x:t>
        </x:is>
      </x:c>
      <x:c r="M133" s="13" t="n">
        <x:v>45809</x:v>
      </x:c>
      <x:c r="N133" s="13" t="n"/>
      <x:c r="O133" s="14" t="n">
        <x:v>12264.93</x:v>
      </x:c>
      <x:c r="P133" s="14" t="n">
        <x:v>50</x:v>
      </x:c>
      <x:c r="Q133" s="14" t="n">
        <x:v>10</x:v>
      </x:c>
      <x:c r="R133" s="14">
        <x:f>IF(D133="Receita",O133-P133+Q133,-(O133-P133+Q133))</x:f>
        <x:v>-12224.93</x:v>
      </x:c>
      <x:c r="S133" s="4" t="inlineStr">
        <x:is>
          <x:t xml:space="preserve">Projeto Aurora</x:t>
        </x:is>
      </x:c>
      <x:c r="T133" s="4" t="inlineStr">
        <x:is>
          <x:t xml:space="preserve">Sem observações</x:t>
        </x:is>
      </x:c>
    </x:row>
    <x:row r="134">
      <x:c r="A134" s="4" t="n">
        <x:v>133</x:v>
      </x:c>
      <x:c r="B134" s="13" t="n">
        <x:v>45778</x:v>
      </x:c>
      <x:c r="C134" s="4" t="inlineStr">
        <x:is>
          <x:t xml:space="preserve">2025-05</x:t>
        </x:is>
      </x:c>
      <x:c r="D134" s="4" t="inlineStr">
        <x:is>
          <x:t xml:space="preserve">Receita</x:t>
        </x:is>
      </x:c>
      <x:c r="E134" s="4" t="inlineStr">
        <x:is>
          <x:t xml:space="preserve">Vendas</x:t>
        </x:is>
      </x:c>
      <x:c r="F134" s="4" t="inlineStr">
        <x:is>
          <x:t xml:space="preserve">Produto A</x:t>
        </x:is>
      </x:c>
      <x:c r="G134" s="4" t="inlineStr">
        <x:is>
          <x:t xml:space="preserve">Comercial</x:t>
        </x:is>
      </x:c>
      <x:c r="H134" s="4" t="inlineStr">
        <x:is>
          <x:t xml:space="preserve">Produto A - Cliente Delta</x:t>
        </x:is>
      </x:c>
      <x:c r="I134" s="4" t="inlineStr">
        <x:is>
          <x:t xml:space="preserve">Cliente Delta</x:t>
        </x:is>
      </x:c>
      <x:c r="J134" s="4" t="inlineStr">
        <x:is>
          <x:t xml:space="preserve">Boleto</x:t>
        </x:is>
      </x:c>
      <x:c r="K134" s="4" t="inlineStr">
        <x:is>
          <x:t xml:space="preserve">Cartão Corporativo</x:t>
        </x:is>
      </x:c>
      <x:c r="L134" s="4" t="inlineStr">
        <x:is>
          <x:t xml:space="preserve">Pago</x:t>
        </x:is>
      </x:c>
      <x:c r="M134" s="13" t="n">
        <x:v>45784</x:v>
      </x:c>
      <x:c r="N134" s="13" t="n">
        <x:v>45784</x:v>
      </x:c>
      <x:c r="O134" s="14" t="n">
        <x:v>1660.24</x:v>
      </x:c>
      <x:c r="P134" s="14" t="n">
        <x:v>0</x:v>
      </x:c>
      <x:c r="Q134" s="14" t="n">
        <x:v>0</x:v>
      </x:c>
      <x:c r="R134" s="14">
        <x:f>IF(D134="Receita",O134-P134+Q134,-(O134-P134+Q134))</x:f>
        <x:v>1660.24</x:v>
      </x:c>
      <x:c r="S134" s="4" t="inlineStr">
        <x:is>
          <x:t xml:space="preserve">Projeto Aurora</x:t>
        </x:is>
      </x:c>
      <x:c r="T134" s="4" t="inlineStr">
        <x:is>
          <x:t xml:space="preserve">Pagamento parcial</x:t>
        </x:is>
      </x:c>
    </x:row>
    <x:row r="135">
      <x:c r="A135" s="4" t="n">
        <x:v>134</x:v>
      </x:c>
      <x:c r="B135" s="13" t="n">
        <x:v>45803</x:v>
      </x:c>
      <x:c r="C135" s="4" t="inlineStr">
        <x:is>
          <x:t xml:space="preserve">2025-05</x:t>
        </x:is>
      </x:c>
      <x:c r="D135" s="4" t="inlineStr">
        <x:is>
          <x:t xml:space="preserve">Receita</x:t>
        </x:is>
      </x:c>
      <x:c r="E135" s="4" t="inlineStr">
        <x:is>
          <x:t xml:space="preserve">Outras Receitas</x:t>
        </x:is>
      </x:c>
      <x:c r="F135" s="4" t="inlineStr">
        <x:is>
          <x:t xml:space="preserve">Reembolso</x:t>
        </x:is>
      </x:c>
      <x:c r="G135" s="4" t="inlineStr">
        <x:is>
          <x:t xml:space="preserve">Comercial</x:t>
        </x:is>
      </x:c>
      <x:c r="H135" s="4" t="inlineStr">
        <x:is>
          <x:t xml:space="preserve">Reembolso - Cliente Alfa</x:t>
        </x:is>
      </x:c>
      <x:c r="I135" s="4" t="inlineStr">
        <x:is>
          <x:t xml:space="preserve">Cliente Alfa</x:t>
        </x:is>
      </x:c>
      <x:c r="J135" s="4" t="inlineStr">
        <x:is>
          <x:t xml:space="preserve">TED</x:t>
        </x:is>
      </x:c>
      <x:c r="K135" s="4" t="inlineStr">
        <x:is>
          <x:t xml:space="preserve">Cartão Corporativo</x:t>
        </x:is>
      </x:c>
      <x:c r="L135" s="4" t="inlineStr">
        <x:is>
          <x:t xml:space="preserve">Pago</x:t>
        </x:is>
      </x:c>
      <x:c r="M135" s="13" t="n">
        <x:v>45805</x:v>
      </x:c>
      <x:c r="N135" s="13" t="n">
        <x:v>45805</x:v>
      </x:c>
      <x:c r="O135" s="14" t="n">
        <x:v>13756.77</x:v>
      </x:c>
      <x:c r="P135" s="14" t="n">
        <x:v>0</x:v>
      </x:c>
      <x:c r="Q135" s="14" t="n">
        <x:v>45</x:v>
      </x:c>
      <x:c r="R135" s="14">
        <x:f>IF(D135="Receita",O135-P135+Q135,-(O135-P135+Q135))</x:f>
        <x:v>13801.77</x:v>
      </x:c>
      <x:c r="S135" s="4" t="inlineStr">
        <x:is>
          <x:t xml:space="preserve">Projeto Sigma</x:t>
        </x:is>
      </x:c>
      <x:c r="T135" s="4" t="inlineStr">
        <x:is>
          <x:t xml:space="preserve"/>
        </x:is>
      </x:c>
    </x:row>
    <x:row r="136">
      <x:c r="A136" s="4" t="n">
        <x:v>135</x:v>
      </x:c>
      <x:c r="B136" s="13" t="n">
        <x:v>45666</x:v>
      </x:c>
      <x:c r="C136" s="4" t="inlineStr">
        <x:is>
          <x:t xml:space="preserve">2025-01</x:t>
        </x:is>
      </x:c>
      <x:c r="D136" s="4" t="inlineStr">
        <x:is>
          <x:t xml:space="preserve">Receita</x:t>
        </x:is>
      </x:c>
      <x:c r="E136" s="4" t="inlineStr">
        <x:is>
          <x:t xml:space="preserve">Vendas</x:t>
        </x:is>
      </x:c>
      <x:c r="F136" s="4" t="inlineStr">
        <x:is>
          <x:t xml:space="preserve">Produto A</x:t>
        </x:is>
      </x:c>
      <x:c r="G136" s="4" t="inlineStr">
        <x:is>
          <x:t xml:space="preserve">Comercial</x:t>
        </x:is>
      </x:c>
      <x:c r="H136" s="4" t="inlineStr">
        <x:is>
          <x:t xml:space="preserve">Produto A - Cliente Delta</x:t>
        </x:is>
      </x:c>
      <x:c r="I136" s="4" t="inlineStr">
        <x:is>
          <x:t xml:space="preserve">Cliente Delta</x:t>
        </x:is>
      </x:c>
      <x:c r="J136" s="4" t="inlineStr">
        <x:is>
          <x:t xml:space="preserve">Cartão</x:t>
        </x:is>
      </x:c>
      <x:c r="K136" s="4" t="inlineStr">
        <x:is>
          <x:t xml:space="preserve">Caixa</x:t>
        </x:is>
      </x:c>
      <x:c r="L136" s="4" t="inlineStr">
        <x:is>
          <x:t xml:space="preserve">Pago</x:t>
        </x:is>
      </x:c>
      <x:c r="M136" s="13" t="n">
        <x:v>45685</x:v>
      </x:c>
      <x:c r="N136" s="13" t="n">
        <x:v>45685</x:v>
      </x:c>
      <x:c r="O136" s="14" t="n">
        <x:v>11920.6</x:v>
      </x:c>
      <x:c r="P136" s="14" t="n">
        <x:v>0</x:v>
      </x:c>
      <x:c r="Q136" s="14" t="n">
        <x:v>15</x:v>
      </x:c>
      <x:c r="R136" s="14">
        <x:f>IF(D136="Receita",O136-P136+Q136,-(O136-P136+Q136))</x:f>
        <x:v>11935.6</x:v>
      </x:c>
      <x:c r="S136" s="4" t="inlineStr">
        <x:is>
          <x:t xml:space="preserve">Expansão</x:t>
        </x:is>
      </x:c>
      <x:c r="T136" s="4" t="inlineStr">
        <x:is>
          <x:t xml:space="preserve">Sem observações</x:t>
        </x:is>
      </x:c>
    </x:row>
    <x:row r="137">
      <x:c r="A137" s="4" t="n">
        <x:v>136</x:v>
      </x:c>
      <x:c r="B137" s="13" t="n">
        <x:v>45770</x:v>
      </x:c>
      <x:c r="C137" s="4" t="inlineStr">
        <x:is>
          <x:t xml:space="preserve">2025-04</x:t>
        </x:is>
      </x:c>
      <x:c r="D137" s="4" t="inlineStr">
        <x:is>
          <x:t xml:space="preserve">Despesa</x:t>
        </x:is>
      </x:c>
      <x:c r="E137" s="4" t="inlineStr">
        <x:is>
          <x:t xml:space="preserve">Marketing</x:t>
        </x:is>
      </x:c>
      <x:c r="F137" s="4" t="inlineStr">
        <x:is>
          <x:t xml:space="preserve">Anúncios</x:t>
        </x:is>
      </x:c>
      <x:c r="G137" s="4" t="inlineStr">
        <x:is>
          <x:t xml:space="preserve">Backoffice</x:t>
        </x:is>
      </x:c>
      <x:c r="H137" s="4" t="inlineStr">
        <x:is>
          <x:t xml:space="preserve">Anúncios - Fornecedor Nexus</x:t>
        </x:is>
      </x:c>
      <x:c r="I137" s="4" t="inlineStr">
        <x:is>
          <x:t xml:space="preserve">Fornecedor Nexus</x:t>
        </x:is>
      </x:c>
      <x:c r="J137" s="4" t="inlineStr">
        <x:is>
          <x:t xml:space="preserve">TED</x:t>
        </x:is>
      </x:c>
      <x:c r="K137" s="4" t="inlineStr">
        <x:is>
          <x:t xml:space="preserve">Cartão Corporativo</x:t>
        </x:is>
      </x:c>
      <x:c r="L137" s="4" t="inlineStr">
        <x:is>
          <x:t xml:space="preserve">Pendente</x:t>
        </x:is>
      </x:c>
      <x:c r="M137" s="13" t="n">
        <x:v>45783</x:v>
      </x:c>
      <x:c r="N137" s="13" t="n"/>
      <x:c r="O137" s="14" t="n">
        <x:v>17173.75</x:v>
      </x:c>
      <x:c r="P137" s="14" t="n">
        <x:v>0</x:v>
      </x:c>
      <x:c r="Q137" s="14" t="n">
        <x:v>25</x:v>
      </x:c>
      <x:c r="R137" s="14">
        <x:f>IF(D137="Receita",O137-P137+Q137,-(O137-P137+Q137))</x:f>
        <x:v>-17198.75</x:v>
      </x:c>
      <x:c r="S137" s="4" t="inlineStr">
        <x:is>
          <x:t xml:space="preserve">Projeto Sigma</x:t>
        </x:is>
      </x:c>
      <x:c r="T137" s="4" t="inlineStr">
        <x:is>
          <x:t xml:space="preserve">Ajuste financeiro</x:t>
        </x:is>
      </x:c>
    </x:row>
    <x:row r="138">
      <x:c r="A138" s="4" t="n">
        <x:v>137</x:v>
      </x:c>
      <x:c r="B138" s="13" t="n">
        <x:v>45743</x:v>
      </x:c>
      <x:c r="C138" s="4" t="inlineStr">
        <x:is>
          <x:t xml:space="preserve">2025-03</x:t>
        </x:is>
      </x:c>
      <x:c r="D138" s="4" t="inlineStr">
        <x:is>
          <x:t xml:space="preserve">Receita</x:t>
        </x:is>
      </x:c>
      <x:c r="E138" s="4" t="inlineStr">
        <x:is>
          <x:t xml:space="preserve">Vendas</x:t>
        </x:is>
      </x:c>
      <x:c r="F138" s="4" t="inlineStr">
        <x:is>
          <x:t xml:space="preserve">Serviço de Implantação</x:t>
        </x:is>
      </x:c>
      <x:c r="G138" s="4" t="inlineStr">
        <x:is>
          <x:t xml:space="preserve">Comercial</x:t>
        </x:is>
      </x:c>
      <x:c r="H138" s="4" t="inlineStr">
        <x:is>
          <x:t xml:space="preserve">Serviço de Implantação - Cliente Ômega</x:t>
        </x:is>
      </x:c>
      <x:c r="I138" s="4" t="inlineStr">
        <x:is>
          <x:t xml:space="preserve">Cliente Ômega</x:t>
        </x:is>
      </x:c>
      <x:c r="J138" s="4" t="inlineStr">
        <x:is>
          <x:t xml:space="preserve">TED</x:t>
        </x:is>
      </x:c>
      <x:c r="K138" s="4" t="inlineStr">
        <x:is>
          <x:t xml:space="preserve">Conta Investimento</x:t>
        </x:is>
      </x:c>
      <x:c r="L138" s="4" t="inlineStr">
        <x:is>
          <x:t xml:space="preserve">Pago</x:t>
        </x:is>
      </x:c>
      <x:c r="M138" s="13" t="n">
        <x:v>45762</x:v>
      </x:c>
      <x:c r="N138" s="13" t="n">
        <x:v>45762</x:v>
      </x:c>
      <x:c r="O138" s="14" t="n">
        <x:v>25811.27</x:v>
      </x:c>
      <x:c r="P138" s="14" t="n">
        <x:v>0</x:v>
      </x:c>
      <x:c r="Q138" s="14" t="n">
        <x:v>0</x:v>
      </x:c>
      <x:c r="R138" s="14">
        <x:f>IF(D138="Receita",O138-P138+Q138,-(O138-P138+Q138))</x:f>
        <x:v>25811.27</x:v>
      </x:c>
      <x:c r="S138" s="4" t="inlineStr">
        <x:is>
          <x:t xml:space="preserve">Rotina</x:t>
        </x:is>
      </x:c>
      <x:c r="T138" s="4" t="inlineStr">
        <x:is>
          <x:t xml:space="preserve">Contrato recorrente</x:t>
        </x:is>
      </x:c>
    </x:row>
    <x:row r="139">
      <x:c r="A139" s="4" t="n">
        <x:v>138</x:v>
      </x:c>
      <x:c r="B139" s="13" t="n">
        <x:v>45833</x:v>
      </x:c>
      <x:c r="C139" s="4" t="inlineStr">
        <x:is>
          <x:t xml:space="preserve">2025-06</x:t>
        </x:is>
      </x:c>
      <x:c r="D139" s="4" t="inlineStr">
        <x:is>
          <x:t xml:space="preserve">Despesa</x:t>
        </x:is>
      </x:c>
      <x:c r="E139" s="4" t="inlineStr">
        <x:is>
          <x:t xml:space="preserve">Marketing</x:t>
        </x:is>
      </x:c>
      <x:c r="F139" s="4" t="inlineStr">
        <x:is>
          <x:t xml:space="preserve">Eventos</x:t>
        </x:is>
      </x:c>
      <x:c r="G139" s="4" t="inlineStr">
        <x:is>
          <x:t xml:space="preserve">Comercial</x:t>
        </x:is>
      </x:c>
      <x:c r="H139" s="4" t="inlineStr">
        <x:is>
          <x:t xml:space="preserve">Eventos - ContaFácil</x:t>
        </x:is>
      </x:c>
      <x:c r="I139" s="4" t="inlineStr">
        <x:is>
          <x:t xml:space="preserve">ContaFácil</x:t>
        </x:is>
      </x:c>
      <x:c r="J139" s="4" t="inlineStr">
        <x:is>
          <x:t xml:space="preserve">PIX</x:t>
        </x:is>
      </x:c>
      <x:c r="K139" s="4" t="inlineStr">
        <x:is>
          <x:t xml:space="preserve">Caixa</x:t>
        </x:is>
      </x:c>
      <x:c r="L139" s="4" t="inlineStr">
        <x:is>
          <x:t xml:space="preserve">Atrasado</x:t>
        </x:is>
      </x:c>
      <x:c r="M139" s="13" t="n">
        <x:v>45838</x:v>
      </x:c>
      <x:c r="N139" s="13" t="n"/>
      <x:c r="O139" s="14" t="n">
        <x:v>5841.74</x:v>
      </x:c>
      <x:c r="P139" s="14" t="n">
        <x:v>0</x:v>
      </x:c>
      <x:c r="Q139" s="14" t="n">
        <x:v>0</x:v>
      </x:c>
      <x:c r="R139" s="14">
        <x:f>IF(D139="Receita",O139-P139+Q139,-(O139-P139+Q139))</x:f>
        <x:v>-5841.74</x:v>
      </x:c>
      <x:c r="S139" s="4" t="inlineStr">
        <x:is>
          <x:t xml:space="preserve">Projeto Atlas</x:t>
        </x:is>
      </x:c>
      <x:c r="T139" s="4" t="inlineStr">
        <x:is>
          <x:t xml:space="preserve">Ajuste financeiro</x:t>
        </x:is>
      </x:c>
    </x:row>
    <x:row r="140">
      <x:c r="A140" s="4" t="n">
        <x:v>139</x:v>
      </x:c>
      <x:c r="B140" s="13" t="n">
        <x:v>45695</x:v>
      </x:c>
      <x:c r="C140" s="4" t="inlineStr">
        <x:is>
          <x:t xml:space="preserve">2025-02</x:t>
        </x:is>
      </x:c>
      <x:c r="D140" s="4" t="inlineStr">
        <x:is>
          <x:t xml:space="preserve">Receita</x:t>
        </x:is>
      </x:c>
      <x:c r="E140" s="4" t="inlineStr">
        <x:is>
          <x:t xml:space="preserve">Outras Receitas</x:t>
        </x:is>
      </x:c>
      <x:c r="F140" s="4" t="inlineStr">
        <x:is>
          <x:t xml:space="preserve">Venda de Ativo</x:t>
        </x:is>
      </x:c>
      <x:c r="G140" s="4" t="inlineStr">
        <x:is>
          <x:t xml:space="preserve">Comercial</x:t>
        </x:is>
      </x:c>
      <x:c r="H140" s="4" t="inlineStr">
        <x:is>
          <x:t xml:space="preserve">Venda de Ativo - Cliente Gama</x:t>
        </x:is>
      </x:c>
      <x:c r="I140" s="4" t="inlineStr">
        <x:is>
          <x:t xml:space="preserve">Cliente Gama</x:t>
        </x:is>
      </x:c>
      <x:c r="J140" s="4" t="inlineStr">
        <x:is>
          <x:t xml:space="preserve">Cartão</x:t>
        </x:is>
      </x:c>
      <x:c r="K140" s="4" t="inlineStr">
        <x:is>
          <x:t xml:space="preserve">Banco Principal</x:t>
        </x:is>
      </x:c>
      <x:c r="L140" s="4" t="inlineStr">
        <x:is>
          <x:t xml:space="preserve">Pago</x:t>
        </x:is>
      </x:c>
      <x:c r="M140" s="13" t="n">
        <x:v>45701</x:v>
      </x:c>
      <x:c r="N140" s="13" t="n">
        <x:v>45701</x:v>
      </x:c>
      <x:c r="O140" s="14" t="n">
        <x:v>19407.67</x:v>
      </x:c>
      <x:c r="P140" s="14" t="n">
        <x:v>970.38</x:v>
      </x:c>
      <x:c r="Q140" s="14" t="n">
        <x:v>15</x:v>
      </x:c>
      <x:c r="R140" s="14">
        <x:f>IF(D140="Receita",O140-P140+Q140,-(O140-P140+Q140))</x:f>
        <x:v>18452.289999999997</x:v>
      </x:c>
      <x:c r="S140" s="4" t="inlineStr">
        <x:is>
          <x:t xml:space="preserve">Rotina</x:t>
        </x:is>
      </x:c>
      <x:c r="T140" s="4" t="inlineStr">
        <x:is>
          <x:t xml:space="preserve">Contrato recorrente</x:t>
        </x:is>
      </x:c>
    </x:row>
    <x:row r="141">
      <x:c r="A141" s="4" t="n">
        <x:v>140</x:v>
      </x:c>
      <x:c r="B141" s="13" t="n">
        <x:v>45710</x:v>
      </x:c>
      <x:c r="C141" s="4" t="inlineStr">
        <x:is>
          <x:t xml:space="preserve">2025-02</x:t>
        </x:is>
      </x:c>
      <x:c r="D141" s="4" t="inlineStr">
        <x:is>
          <x:t xml:space="preserve">Despesa</x:t>
        </x:is>
      </x:c>
      <x:c r="E141" s="4" t="inlineStr">
        <x:is>
          <x:t xml:space="preserve">Administrativo</x:t>
        </x:is>
      </x:c>
      <x:c r="F141" s="4" t="inlineStr">
        <x:is>
          <x:t xml:space="preserve">Contabilidade</x:t>
        </x:is>
      </x:c>
      <x:c r="G141" s="4" t="inlineStr">
        <x:is>
          <x:t xml:space="preserve">TI</x:t>
        </x:is>
      </x:c>
      <x:c r="H141" s="4" t="inlineStr">
        <x:is>
          <x:t xml:space="preserve">Contabilidade - MídiaPro</x:t>
        </x:is>
      </x:c>
      <x:c r="I141" s="4" t="inlineStr">
        <x:is>
          <x:t xml:space="preserve">MídiaPro</x:t>
        </x:is>
      </x:c>
      <x:c r="J141" s="4" t="inlineStr">
        <x:is>
          <x:t xml:space="preserve">Boleto</x:t>
        </x:is>
      </x:c>
      <x:c r="K141" s="4" t="inlineStr">
        <x:is>
          <x:t xml:space="preserve">Cartão Corporativo</x:t>
        </x:is>
      </x:c>
      <x:c r="L141" s="4" t="inlineStr">
        <x:is>
          <x:t xml:space="preserve">Pago</x:t>
        </x:is>
      </x:c>
      <x:c r="M141" s="13" t="n">
        <x:v>45721</x:v>
      </x:c>
      <x:c r="N141" s="13" t="n">
        <x:v>45721</x:v>
      </x:c>
      <x:c r="O141" s="14" t="n">
        <x:v>9766.870000000001</x:v>
      </x:c>
      <x:c r="P141" s="14" t="n">
        <x:v>50</x:v>
      </x:c>
      <x:c r="Q141" s="14" t="n">
        <x:v>40</x:v>
      </x:c>
      <x:c r="R141" s="14">
        <x:f>IF(D141="Receita",O141-P141+Q141,-(O141-P141+Q141))</x:f>
        <x:v>-9756.87</x:v>
      </x:c>
      <x:c r="S141" s="4" t="inlineStr">
        <x:is>
          <x:t xml:space="preserve">Expansão</x:t>
        </x:is>
      </x:c>
      <x:c r="T141" s="4" t="inlineStr">
        <x:is>
          <x:t xml:space="preserve">Ajuste financeiro</x:t>
        </x:is>
      </x:c>
    </x:row>
    <x:row r="142">
      <x:c r="A142" s="4" t="n">
        <x:v>141</x:v>
      </x:c>
      <x:c r="B142" s="13" t="n">
        <x:v>45724</x:v>
      </x:c>
      <x:c r="C142" s="4" t="inlineStr">
        <x:is>
          <x:t xml:space="preserve">2025-03</x:t>
        </x:is>
      </x:c>
      <x:c r="D142" s="4" t="inlineStr">
        <x:is>
          <x:t xml:space="preserve">Despesa</x:t>
        </x:is>
      </x:c>
      <x:c r="E142" s="4" t="inlineStr">
        <x:is>
          <x:t xml:space="preserve">Administrativo</x:t>
        </x:is>
      </x:c>
      <x:c r="F142" s="4" t="inlineStr">
        <x:is>
          <x:t xml:space="preserve">Aluguel</x:t>
        </x:is>
      </x:c>
      <x:c r="G142" s="4" t="inlineStr">
        <x:is>
          <x:t xml:space="preserve">Diretoria</x:t>
        </x:is>
      </x:c>
      <x:c r="H142" s="4" t="inlineStr">
        <x:is>
          <x:t xml:space="preserve">Aluguel - MídiaPro</x:t>
        </x:is>
      </x:c>
      <x:c r="I142" s="4" t="inlineStr">
        <x:is>
          <x:t xml:space="preserve">MídiaPro</x:t>
        </x:is>
      </x:c>
      <x:c r="J142" s="4" t="inlineStr">
        <x:is>
          <x:t xml:space="preserve">Boleto</x:t>
        </x:is>
      </x:c>
      <x:c r="K142" s="4" t="inlineStr">
        <x:is>
          <x:t xml:space="preserve">Caixa</x:t>
        </x:is>
      </x:c>
      <x:c r="L142" s="4" t="inlineStr">
        <x:is>
          <x:t xml:space="preserve">Pago</x:t>
        </x:is>
      </x:c>
      <x:c r="M142" s="13" t="n">
        <x:v>45730</x:v>
      </x:c>
      <x:c r="N142" s="13" t="n">
        <x:v>45730</x:v>
      </x:c>
      <x:c r="O142" s="14" t="n">
        <x:v>10640.77</x:v>
      </x:c>
      <x:c r="P142" s="14" t="n">
        <x:v>0</x:v>
      </x:c>
      <x:c r="Q142" s="14" t="n">
        <x:v>0</x:v>
      </x:c>
      <x:c r="R142" s="14">
        <x:f>IF(D142="Receita",O142-P142+Q142,-(O142-P142+Q142))</x:f>
        <x:v>-10640.77</x:v>
      </x:c>
      <x:c r="S142" s="4" t="inlineStr">
        <x:is>
          <x:t xml:space="preserve">Projeto Sigma</x:t>
        </x:is>
      </x:c>
      <x:c r="T142" s="4" t="inlineStr">
        <x:is>
          <x:t xml:space="preserve">Ajuste financeiro</x:t>
        </x:is>
      </x:c>
    </x:row>
    <x:row r="143">
      <x:c r="A143" s="4" t="n">
        <x:v>142</x:v>
      </x:c>
      <x:c r="B143" s="13" t="n">
        <x:v>45802</x:v>
      </x:c>
      <x:c r="C143" s="4" t="inlineStr">
        <x:is>
          <x:t xml:space="preserve">2025-05</x:t>
        </x:is>
      </x:c>
      <x:c r="D143" s="4" t="inlineStr">
        <x:is>
          <x:t xml:space="preserve">Despesa</x:t>
        </x:is>
      </x:c>
      <x:c r="E143" s="4" t="inlineStr">
        <x:is>
          <x:t xml:space="preserve">Administrativo</x:t>
        </x:is>
      </x:c>
      <x:c r="F143" s="4" t="inlineStr">
        <x:is>
          <x:t xml:space="preserve">Jurídico</x:t>
        </x:is>
      </x:c>
      <x:c r="G143" s="4" t="inlineStr">
        <x:is>
          <x:t xml:space="preserve">Comercial</x:t>
        </x:is>
      </x:c>
      <x:c r="H143" s="4" t="inlineStr">
        <x:is>
          <x:t xml:space="preserve">Jurídico - CloudFast</x:t>
        </x:is>
      </x:c>
      <x:c r="I143" s="4" t="inlineStr">
        <x:is>
          <x:t xml:space="preserve">CloudFast</x:t>
        </x:is>
      </x:c>
      <x:c r="J143" s="4" t="inlineStr">
        <x:is>
          <x:t xml:space="preserve">TED</x:t>
        </x:is>
      </x:c>
      <x:c r="K143" s="4" t="inlineStr">
        <x:is>
          <x:t xml:space="preserve">Banco Principal</x:t>
        </x:is>
      </x:c>
      <x:c r="L143" s="4" t="inlineStr">
        <x:is>
          <x:t xml:space="preserve">Pago</x:t>
        </x:is>
      </x:c>
      <x:c r="M143" s="13" t="n">
        <x:v>45805</x:v>
      </x:c>
      <x:c r="N143" s="13" t="n">
        <x:v>45805</x:v>
      </x:c>
      <x:c r="O143" s="14" t="n">
        <x:v>16613.32</x:v>
      </x:c>
      <x:c r="P143" s="14" t="n">
        <x:v>20</x:v>
      </x:c>
      <x:c r="Q143" s="14" t="n">
        <x:v>0</x:v>
      </x:c>
      <x:c r="R143" s="14">
        <x:f>IF(D143="Receita",O143-P143+Q143,-(O143-P143+Q143))</x:f>
        <x:v>-16593.32</x:v>
      </x:c>
      <x:c r="S143" s="4" t="inlineStr">
        <x:is>
          <x:t xml:space="preserve">Projeto Atlas</x:t>
        </x:is>
      </x:c>
      <x:c r="T143" s="4" t="inlineStr">
        <x:is>
          <x:t xml:space="preserve">Pagamento parcial</x:t>
        </x:is>
      </x:c>
    </x:row>
    <x:row r="144">
      <x:c r="A144" s="4" t="n">
        <x:v>143</x:v>
      </x:c>
      <x:c r="B144" s="13" t="n">
        <x:v>45810</x:v>
      </x:c>
      <x:c r="C144" s="4" t="inlineStr">
        <x:is>
          <x:t xml:space="preserve">2025-06</x:t>
        </x:is>
      </x:c>
      <x:c r="D144" s="4" t="inlineStr">
        <x:is>
          <x:t xml:space="preserve">Receita</x:t>
        </x:is>
      </x:c>
      <x:c r="E144" s="4" t="inlineStr">
        <x:is>
          <x:t xml:space="preserve">Receita Financeira</x:t>
        </x:is>
      </x:c>
      <x:c r="F144" s="4" t="inlineStr">
        <x:is>
          <x:t xml:space="preserve">Rendimento Conta</x:t>
        </x:is>
      </x:c>
      <x:c r="G144" s="4" t="inlineStr">
        <x:is>
          <x:t xml:space="preserve">Comercial</x:t>
        </x:is>
      </x:c>
      <x:c r="H144" s="4" t="inlineStr">
        <x:is>
          <x:t xml:space="preserve">Rendimento Conta - Cliente Alfa</x:t>
        </x:is>
      </x:c>
      <x:c r="I144" s="4" t="inlineStr">
        <x:is>
          <x:t xml:space="preserve">Cliente Alfa</x:t>
        </x:is>
      </x:c>
      <x:c r="J144" s="4" t="inlineStr">
        <x:is>
          <x:t xml:space="preserve">Cartão</x:t>
        </x:is>
      </x:c>
      <x:c r="K144" s="4" t="inlineStr">
        <x:is>
          <x:t xml:space="preserve">Caixa</x:t>
        </x:is>
      </x:c>
      <x:c r="L144" s="4" t="inlineStr">
        <x:is>
          <x:t xml:space="preserve">Pago</x:t>
        </x:is>
      </x:c>
      <x:c r="M144" s="13" t="n">
        <x:v>45828</x:v>
      </x:c>
      <x:c r="N144" s="13" t="n">
        <x:v>45828</x:v>
      </x:c>
      <x:c r="O144" s="14" t="n">
        <x:v>2624.9</x:v>
      </x:c>
      <x:c r="P144" s="14" t="n">
        <x:v>131.25</x:v>
      </x:c>
      <x:c r="Q144" s="14" t="n">
        <x:v>30</x:v>
      </x:c>
      <x:c r="R144" s="14">
        <x:f>IF(D144="Receita",O144-P144+Q144,-(O144-P144+Q144))</x:f>
        <x:v>2523.65</x:v>
      </x:c>
      <x:c r="S144" s="4" t="inlineStr">
        <x:is>
          <x:t xml:space="preserve">Rotina</x:t>
        </x:is>
      </x:c>
      <x:c r="T144" s="4" t="inlineStr">
        <x:is>
          <x:t xml:space="preserve"/>
        </x:is>
      </x:c>
    </x:row>
    <x:row r="145">
      <x:c r="A145" s="4" t="n">
        <x:v>144</x:v>
      </x:c>
      <x:c r="B145" s="13" t="n">
        <x:v>45772</x:v>
      </x:c>
      <x:c r="C145" s="4" t="inlineStr">
        <x:is>
          <x:t xml:space="preserve">2025-04</x:t>
        </x:is>
      </x:c>
      <x:c r="D145" s="4" t="inlineStr">
        <x:is>
          <x:t xml:space="preserve">Despesa</x:t>
        </x:is>
      </x:c>
      <x:c r="E145" s="4" t="inlineStr">
        <x:is>
          <x:t xml:space="preserve">Administrativo</x:t>
        </x:is>
      </x:c>
      <x:c r="F145" s="4" t="inlineStr">
        <x:is>
          <x:t xml:space="preserve">Jurídico</x:t>
        </x:is>
      </x:c>
      <x:c r="G145" s="4" t="inlineStr">
        <x:is>
          <x:t xml:space="preserve">Comercial</x:t>
        </x:is>
      </x:c>
      <x:c r="H145" s="4" t="inlineStr">
        <x:is>
          <x:t xml:space="preserve">Jurídico - ContaFácil</x:t>
        </x:is>
      </x:c>
      <x:c r="I145" s="4" t="inlineStr">
        <x:is>
          <x:t xml:space="preserve">ContaFácil</x:t>
        </x:is>
      </x:c>
      <x:c r="J145" s="4" t="inlineStr">
        <x:is>
          <x:t xml:space="preserve">PIX</x:t>
        </x:is>
      </x:c>
      <x:c r="K145" s="4" t="inlineStr">
        <x:is>
          <x:t xml:space="preserve">Banco Principal</x:t>
        </x:is>
      </x:c>
      <x:c r="L145" s="4" t="inlineStr">
        <x:is>
          <x:t xml:space="preserve">Pago</x:t>
        </x:is>
      </x:c>
      <x:c r="M145" s="13" t="n">
        <x:v>45774</x:v>
      </x:c>
      <x:c r="N145" s="13" t="n">
        <x:v>45774</x:v>
      </x:c>
      <x:c r="O145" s="14" t="n">
        <x:v>6152.07</x:v>
      </x:c>
      <x:c r="P145" s="14" t="n">
        <x:v>0</x:v>
      </x:c>
      <x:c r="Q145" s="14" t="n">
        <x:v>0</x:v>
      </x:c>
      <x:c r="R145" s="14">
        <x:f>IF(D145="Receita",O145-P145+Q145,-(O145-P145+Q145))</x:f>
        <x:v>-6152.07</x:v>
      </x:c>
      <x:c r="S145" s="4" t="inlineStr">
        <x:is>
          <x:t xml:space="preserve">Expansão</x:t>
        </x:is>
      </x:c>
      <x:c r="T145" s="4" t="inlineStr">
        <x:is>
          <x:t xml:space="preserve">Pagamento parcial</x:t>
        </x:is>
      </x:c>
    </x:row>
    <x:row r="146">
      <x:c r="A146" s="4" t="n">
        <x:v>145</x:v>
      </x:c>
      <x:c r="B146" s="13" t="n">
        <x:v>45838</x:v>
      </x:c>
      <x:c r="C146" s="4" t="inlineStr">
        <x:is>
          <x:t xml:space="preserve">2025-06</x:t>
        </x:is>
      </x:c>
      <x:c r="D146" s="4" t="inlineStr">
        <x:is>
          <x:t xml:space="preserve">Despesa</x:t>
        </x:is>
      </x:c>
      <x:c r="E146" s="4" t="inlineStr">
        <x:is>
          <x:t xml:space="preserve">Folha</x:t>
        </x:is>
      </x:c>
      <x:c r="F146" s="4" t="inlineStr">
        <x:is>
          <x:t xml:space="preserve">Benefícios</x:t>
        </x:is>
      </x:c>
      <x:c r="G146" s="4" t="inlineStr">
        <x:is>
          <x:t xml:space="preserve">TI</x:t>
        </x:is>
      </x:c>
      <x:c r="H146" s="4" t="inlineStr">
        <x:is>
          <x:t xml:space="preserve">Benefícios - EnergiaSul</x:t>
        </x:is>
      </x:c>
      <x:c r="I146" s="4" t="inlineStr">
        <x:is>
          <x:t xml:space="preserve">EnergiaSul</x:t>
        </x:is>
      </x:c>
      <x:c r="J146" s="4" t="inlineStr">
        <x:is>
          <x:t xml:space="preserve">Boleto</x:t>
        </x:is>
      </x:c>
      <x:c r="K146" s="4" t="inlineStr">
        <x:is>
          <x:t xml:space="preserve">Banco Principal</x:t>
        </x:is>
      </x:c>
      <x:c r="L146" s="4" t="inlineStr">
        <x:is>
          <x:t xml:space="preserve">Pago</x:t>
        </x:is>
      </x:c>
      <x:c r="M146" s="13" t="n">
        <x:v>45846</x:v>
      </x:c>
      <x:c r="N146" s="13" t="n">
        <x:v>45846</x:v>
      </x:c>
      <x:c r="O146" s="14" t="n">
        <x:v>16605.01</x:v>
      </x:c>
      <x:c r="P146" s="14" t="n">
        <x:v>100</x:v>
      </x:c>
      <x:c r="Q146" s="14" t="n">
        <x:v>0</x:v>
      </x:c>
      <x:c r="R146" s="14">
        <x:f>IF(D146="Receita",O146-P146+Q146,-(O146-P146+Q146))</x:f>
        <x:v>-16505.01</x:v>
      </x:c>
      <x:c r="S146" s="4" t="inlineStr">
        <x:is>
          <x:t xml:space="preserve">Expansão</x:t>
        </x:is>
      </x:c>
      <x:c r="T146" s="4" t="inlineStr">
        <x:is>
          <x:t xml:space="preserve">Contrato recorrente</x:t>
        </x:is>
      </x:c>
    </x:row>
    <x:row r="147">
      <x:c r="A147" s="4" t="n">
        <x:v>146</x:v>
      </x:c>
      <x:c r="B147" s="13" t="n">
        <x:v>45704</x:v>
      </x:c>
      <x:c r="C147" s="4" t="inlineStr">
        <x:is>
          <x:t xml:space="preserve">2025-02</x:t>
        </x:is>
      </x:c>
      <x:c r="D147" s="4" t="inlineStr">
        <x:is>
          <x:t xml:space="preserve">Despesa</x:t>
        </x:is>
      </x:c>
      <x:c r="E147" s="4" t="inlineStr">
        <x:is>
          <x:t xml:space="preserve">Marketing</x:t>
        </x:is>
      </x:c>
      <x:c r="F147" s="4" t="inlineStr">
        <x:is>
          <x:t xml:space="preserve">Eventos</x:t>
        </x:is>
      </x:c>
      <x:c r="G147" s="4" t="inlineStr">
        <x:is>
          <x:t xml:space="preserve">Operações</x:t>
        </x:is>
      </x:c>
      <x:c r="H147" s="4" t="inlineStr">
        <x:is>
          <x:t xml:space="preserve">Eventos - CloudFast</x:t>
        </x:is>
      </x:c>
      <x:c r="I147" s="4" t="inlineStr">
        <x:is>
          <x:t xml:space="preserve">CloudFast</x:t>
        </x:is>
      </x:c>
      <x:c r="J147" s="4" t="inlineStr">
        <x:is>
          <x:t xml:space="preserve">PIX</x:t>
        </x:is>
      </x:c>
      <x:c r="K147" s="4" t="inlineStr">
        <x:is>
          <x:t xml:space="preserve">Caixa</x:t>
        </x:is>
      </x:c>
      <x:c r="L147" s="4" t="inlineStr">
        <x:is>
          <x:t xml:space="preserve">Atrasado</x:t>
        </x:is>
      </x:c>
      <x:c r="M147" s="13" t="n">
        <x:v>45705</x:v>
      </x:c>
      <x:c r="N147" s="13" t="n"/>
      <x:c r="O147" s="14" t="n">
        <x:v>3164.46</x:v>
      </x:c>
      <x:c r="P147" s="14" t="n">
        <x:v>0</x:v>
      </x:c>
      <x:c r="Q147" s="14" t="n">
        <x:v>0</x:v>
      </x:c>
      <x:c r="R147" s="14">
        <x:f>IF(D147="Receita",O147-P147+Q147,-(O147-P147+Q147))</x:f>
        <x:v>-3164.46</x:v>
      </x:c>
      <x:c r="S147" s="4" t="inlineStr">
        <x:is>
          <x:t xml:space="preserve">Expansão</x:t>
        </x:is>
      </x:c>
      <x:c r="T147" s="4" t="inlineStr">
        <x:is>
          <x:t xml:space="preserve">Sem observações</x:t>
        </x:is>
      </x:c>
    </x:row>
    <x:row r="148">
      <x:c r="A148" s="4" t="n">
        <x:v>147</x:v>
      </x:c>
      <x:c r="B148" s="13" t="n">
        <x:v>45823</x:v>
      </x:c>
      <x:c r="C148" s="4" t="inlineStr">
        <x:is>
          <x:t xml:space="preserve">2025-06</x:t>
        </x:is>
      </x:c>
      <x:c r="D148" s="4" t="inlineStr">
        <x:is>
          <x:t xml:space="preserve">Despesa</x:t>
        </x:is>
      </x:c>
      <x:c r="E148" s="4" t="inlineStr">
        <x:is>
          <x:t xml:space="preserve">Operacional</x:t>
        </x:is>
      </x:c>
      <x:c r="F148" s="4" t="inlineStr">
        <x:is>
          <x:t xml:space="preserve">Frete</x:t>
        </x:is>
      </x:c>
      <x:c r="G148" s="4" t="inlineStr">
        <x:is>
          <x:t xml:space="preserve">Operações</x:t>
        </x:is>
      </x:c>
      <x:c r="H148" s="4" t="inlineStr">
        <x:is>
          <x:t xml:space="preserve">Frete - Fornecedor Nexus</x:t>
        </x:is>
      </x:c>
      <x:c r="I148" s="4" t="inlineStr">
        <x:is>
          <x:t xml:space="preserve">Fornecedor Nexus</x:t>
        </x:is>
      </x:c>
      <x:c r="J148" s="4" t="inlineStr">
        <x:is>
          <x:t xml:space="preserve">PIX</x:t>
        </x:is>
      </x:c>
      <x:c r="K148" s="4" t="inlineStr">
        <x:is>
          <x:t xml:space="preserve">Cartão Corporativo</x:t>
        </x:is>
      </x:c>
      <x:c r="L148" s="4" t="inlineStr">
        <x:is>
          <x:t xml:space="preserve">Atrasado</x:t>
        </x:is>
      </x:c>
      <x:c r="M148" s="13" t="n">
        <x:v>45832</x:v>
      </x:c>
      <x:c r="N148" s="13" t="n"/>
      <x:c r="O148" s="14" t="n">
        <x:v>5772.87</x:v>
      </x:c>
      <x:c r="P148" s="14" t="n">
        <x:v>0</x:v>
      </x:c>
      <x:c r="Q148" s="14" t="n">
        <x:v>0</x:v>
      </x:c>
      <x:c r="R148" s="14">
        <x:f>IF(D148="Receita",O148-P148+Q148,-(O148-P148+Q148))</x:f>
        <x:v>-5772.87</x:v>
      </x:c>
      <x:c r="S148" s="4" t="inlineStr">
        <x:is>
          <x:t xml:space="preserve">Projeto Sigma</x:t>
        </x:is>
      </x:c>
      <x:c r="T148" s="4" t="inlineStr">
        <x:is>
          <x:t xml:space="preserve">Pagamento parcial</x:t>
        </x:is>
      </x:c>
    </x:row>
    <x:row r="149">
      <x:c r="A149" s="4" t="n">
        <x:v>148</x:v>
      </x:c>
      <x:c r="B149" s="13" t="n">
        <x:v>45723</x:v>
      </x:c>
      <x:c r="C149" s="4" t="inlineStr">
        <x:is>
          <x:t xml:space="preserve">2025-03</x:t>
        </x:is>
      </x:c>
      <x:c r="D149" s="4" t="inlineStr">
        <x:is>
          <x:t xml:space="preserve">Despesa</x:t>
        </x:is>
      </x:c>
      <x:c r="E149" s="4" t="inlineStr">
        <x:is>
          <x:t xml:space="preserve">Tecnologia</x:t>
        </x:is>
      </x:c>
      <x:c r="F149" s="4" t="inlineStr">
        <x:is>
          <x:t xml:space="preserve">Licenças</x:t>
        </x:is>
      </x:c>
      <x:c r="G149" s="4" t="inlineStr">
        <x:is>
          <x:t xml:space="preserve">Operações</x:t>
        </x:is>
      </x:c>
      <x:c r="H149" s="4" t="inlineStr">
        <x:is>
          <x:t xml:space="preserve">Licenças - MídiaPro</x:t>
        </x:is>
      </x:c>
      <x:c r="I149" s="4" t="inlineStr">
        <x:is>
          <x:t xml:space="preserve">MídiaPro</x:t>
        </x:is>
      </x:c>
      <x:c r="J149" s="4" t="inlineStr">
        <x:is>
          <x:t xml:space="preserve">Boleto</x:t>
        </x:is>
      </x:c>
      <x:c r="K149" s="4" t="inlineStr">
        <x:is>
          <x:t xml:space="preserve">Banco Principal</x:t>
        </x:is>
      </x:c>
      <x:c r="L149" s="4" t="inlineStr">
        <x:is>
          <x:t xml:space="preserve">Pendente</x:t>
        </x:is>
      </x:c>
      <x:c r="M149" s="13" t="n">
        <x:v>45723</x:v>
      </x:c>
      <x:c r="N149" s="13" t="n"/>
      <x:c r="O149" s="14" t="n">
        <x:v>7989.62</x:v>
      </x:c>
      <x:c r="P149" s="14" t="n">
        <x:v>0</x:v>
      </x:c>
      <x:c r="Q149" s="14" t="n">
        <x:v>25</x:v>
      </x:c>
      <x:c r="R149" s="14">
        <x:f>IF(D149="Receita",O149-P149+Q149,-(O149-P149+Q149))</x:f>
        <x:v>-8014.62</x:v>
      </x:c>
      <x:c r="S149" s="4" t="inlineStr">
        <x:is>
          <x:t xml:space="preserve">Projeto Atlas</x:t>
        </x:is>
      </x:c>
      <x:c r="T149" s="4" t="inlineStr">
        <x:is>
          <x:t xml:space="preserve">Renovação anual</x:t>
        </x:is>
      </x:c>
    </x:row>
    <x:row r="150">
      <x:c r="A150" s="4" t="n">
        <x:v>149</x:v>
      </x:c>
      <x:c r="B150" s="13" t="n">
        <x:v>45677</x:v>
      </x:c>
      <x:c r="C150" s="4" t="inlineStr">
        <x:is>
          <x:t xml:space="preserve">2025-01</x:t>
        </x:is>
      </x:c>
      <x:c r="D150" s="4" t="inlineStr">
        <x:is>
          <x:t xml:space="preserve">Despesa</x:t>
        </x:is>
      </x:c>
      <x:c r="E150" s="4" t="inlineStr">
        <x:is>
          <x:t xml:space="preserve">Tecnologia</x:t>
        </x:is>
      </x:c>
      <x:c r="F150" s="4" t="inlineStr">
        <x:is>
          <x:t xml:space="preserve">Equipamentos</x:t>
        </x:is>
      </x:c>
      <x:c r="G150" s="4" t="inlineStr">
        <x:is>
          <x:t xml:space="preserve">TI</x:t>
        </x:is>
      </x:c>
      <x:c r="H150" s="4" t="inlineStr">
        <x:is>
          <x:t xml:space="preserve">Equipamentos - CloudFast</x:t>
        </x:is>
      </x:c>
      <x:c r="I150" s="4" t="inlineStr">
        <x:is>
          <x:t xml:space="preserve">CloudFast</x:t>
        </x:is>
      </x:c>
      <x:c r="J150" s="4" t="inlineStr">
        <x:is>
          <x:t xml:space="preserve">TED</x:t>
        </x:is>
      </x:c>
      <x:c r="K150" s="4" t="inlineStr">
        <x:is>
          <x:t xml:space="preserve">Caixa</x:t>
        </x:is>
      </x:c>
      <x:c r="L150" s="4" t="inlineStr">
        <x:is>
          <x:t xml:space="preserve">Pago</x:t>
        </x:is>
      </x:c>
      <x:c r="M150" s="13" t="n">
        <x:v>45677</x:v>
      </x:c>
      <x:c r="N150" s="13" t="n">
        <x:v>45677</x:v>
      </x:c>
      <x:c r="O150" s="14" t="n">
        <x:v>17246.53</x:v>
      </x:c>
      <x:c r="P150" s="14" t="n">
        <x:v>20</x:v>
      </x:c>
      <x:c r="Q150" s="14" t="n">
        <x:v>40</x:v>
      </x:c>
      <x:c r="R150" s="14">
        <x:f>IF(D150="Receita",O150-P150+Q150,-(O150-P150+Q150))</x:f>
        <x:v>-17266.53</x:v>
      </x:c>
      <x:c r="S150" s="4" t="inlineStr">
        <x:is>
          <x:t xml:space="preserve">Projeto Sigma</x:t>
        </x:is>
      </x:c>
      <x:c r="T150" s="4" t="inlineStr">
        <x:is>
          <x:t xml:space="preserve">Renovação anual</x:t>
        </x:is>
      </x:c>
    </x:row>
    <x:row r="151">
      <x:c r="A151" s="4" t="n">
        <x:v>150</x:v>
      </x:c>
      <x:c r="B151" s="13" t="n">
        <x:v>45780</x:v>
      </x:c>
      <x:c r="C151" s="4" t="inlineStr">
        <x:is>
          <x:t xml:space="preserve">2025-05</x:t>
        </x:is>
      </x:c>
      <x:c r="D151" s="4" t="inlineStr">
        <x:is>
          <x:t xml:space="preserve">Receita</x:t>
        </x:is>
      </x:c>
      <x:c r="E151" s="4" t="inlineStr">
        <x:is>
          <x:t xml:space="preserve">Receita Financeira</x:t>
        </x:is>
      </x:c>
      <x:c r="F151" s="4" t="inlineStr">
        <x:is>
          <x:t xml:space="preserve">Rendimento Conta</x:t>
        </x:is>
      </x:c>
      <x:c r="G151" s="4" t="inlineStr">
        <x:is>
          <x:t xml:space="preserve">Comercial</x:t>
        </x:is>
      </x:c>
      <x:c r="H151" s="4" t="inlineStr">
        <x:is>
          <x:t xml:space="preserve">Rendimento Conta - Cliente Gama</x:t>
        </x:is>
      </x:c>
      <x:c r="I151" s="4" t="inlineStr">
        <x:is>
          <x:t xml:space="preserve">Cliente Gama</x:t>
        </x:is>
      </x:c>
      <x:c r="J151" s="4" t="inlineStr">
        <x:is>
          <x:t xml:space="preserve">TED</x:t>
        </x:is>
      </x:c>
      <x:c r="K151" s="4" t="inlineStr">
        <x:is>
          <x:t xml:space="preserve">Conta Investimento</x:t>
        </x:is>
      </x:c>
      <x:c r="L151" s="4" t="inlineStr">
        <x:is>
          <x:t xml:space="preserve">Atrasado</x:t>
        </x:is>
      </x:c>
      <x:c r="M151" s="13" t="n">
        <x:v>45794</x:v>
      </x:c>
      <x:c r="N151" s="13" t="n"/>
      <x:c r="O151" s="14" t="n">
        <x:v>8925.309999999999</x:v>
      </x:c>
      <x:c r="P151" s="14" t="n">
        <x:v>0</x:v>
      </x:c>
      <x:c r="Q151" s="14" t="n">
        <x:v>0</x:v>
      </x:c>
      <x:c r="R151" s="14">
        <x:f>IF(D151="Receita",O151-P151+Q151,-(O151-P151+Q151))</x:f>
        <x:v>8925.31</x:v>
      </x:c>
      <x:c r="S151" s="4" t="inlineStr">
        <x:is>
          <x:t xml:space="preserve">Projeto Sigma</x:t>
        </x:is>
      </x:c>
      <x:c r="T151" s="4" t="inlineStr">
        <x:is>
          <x:t xml:space="preserve">Contrato recorrente</x:t>
        </x:is>
      </x:c>
    </x:row>
    <x:row r="152">
      <x:c r="A152" s="4" t="n">
        <x:v>151</x:v>
      </x:c>
      <x:c r="B152" s="13" t="n">
        <x:v>45763</x:v>
      </x:c>
      <x:c r="C152" s="4" t="inlineStr">
        <x:is>
          <x:t xml:space="preserve">2025-04</x:t>
        </x:is>
      </x:c>
      <x:c r="D152" s="4" t="inlineStr">
        <x:is>
          <x:t xml:space="preserve">Receita</x:t>
        </x:is>
      </x:c>
      <x:c r="E152" s="4" t="inlineStr">
        <x:is>
          <x:t xml:space="preserve">Vendas</x:t>
        </x:is>
      </x:c>
      <x:c r="F152" s="4" t="inlineStr">
        <x:is>
          <x:t xml:space="preserve">Serviço de Implantação</x:t>
        </x:is>
      </x:c>
      <x:c r="G152" s="4" t="inlineStr">
        <x:is>
          <x:t xml:space="preserve">Comercial</x:t>
        </x:is>
      </x:c>
      <x:c r="H152" s="4" t="inlineStr">
        <x:is>
          <x:t xml:space="preserve">Serviço de Implantação - Cliente Ômega</x:t>
        </x:is>
      </x:c>
      <x:c r="I152" s="4" t="inlineStr">
        <x:is>
          <x:t xml:space="preserve">Cliente Ômega</x:t>
        </x:is>
      </x:c>
      <x:c r="J152" s="4" t="inlineStr">
        <x:is>
          <x:t xml:space="preserve">PIX</x:t>
        </x:is>
      </x:c>
      <x:c r="K152" s="4" t="inlineStr">
        <x:is>
          <x:t xml:space="preserve">Caixa</x:t>
        </x:is>
      </x:c>
      <x:c r="L152" s="4" t="inlineStr">
        <x:is>
          <x:t xml:space="preserve">Pendente</x:t>
        </x:is>
      </x:c>
      <x:c r="M152" s="13" t="n">
        <x:v>45771</x:v>
      </x:c>
      <x:c r="N152" s="13" t="n"/>
      <x:c r="O152" s="14" t="n">
        <x:v>29625.37</x:v>
      </x:c>
      <x:c r="P152" s="14" t="n">
        <x:v>592.51</x:v>
      </x:c>
      <x:c r="Q152" s="14" t="n">
        <x:v>0</x:v>
      </x:c>
      <x:c r="R152" s="14">
        <x:f>IF(D152="Receita",O152-P152+Q152,-(O152-P152+Q152))</x:f>
        <x:v>29032.86</x:v>
      </x:c>
      <x:c r="S152" s="4" t="inlineStr">
        <x:is>
          <x:t xml:space="preserve">Rotina</x:t>
        </x:is>
      </x:c>
      <x:c r="T152" s="4" t="inlineStr">
        <x:is>
          <x:t xml:space="preserve">Contrato recorrente</x:t>
        </x:is>
      </x:c>
    </x:row>
    <x:row r="153">
      <x:c r="A153" s="4" t="n">
        <x:v>152</x:v>
      </x:c>
      <x:c r="B153" s="13" t="n">
        <x:v>45687</x:v>
      </x:c>
      <x:c r="C153" s="4" t="inlineStr">
        <x:is>
          <x:t xml:space="preserve">2025-01</x:t>
        </x:is>
      </x:c>
      <x:c r="D153" s="4" t="inlineStr">
        <x:is>
          <x:t xml:space="preserve">Receita</x:t>
        </x:is>
      </x:c>
      <x:c r="E153" s="4" t="inlineStr">
        <x:is>
          <x:t xml:space="preserve">Outras Receitas</x:t>
        </x:is>
      </x:c>
      <x:c r="F153" s="4" t="inlineStr">
        <x:is>
          <x:t xml:space="preserve">Reembolso</x:t>
        </x:is>
      </x:c>
      <x:c r="G153" s="4" t="inlineStr">
        <x:is>
          <x:t xml:space="preserve">Comercial</x:t>
        </x:is>
      </x:c>
      <x:c r="H153" s="4" t="inlineStr">
        <x:is>
          <x:t xml:space="preserve">Reembolso - Cliente Beta</x:t>
        </x:is>
      </x:c>
      <x:c r="I153" s="4" t="inlineStr">
        <x:is>
          <x:t xml:space="preserve">Cliente Beta</x:t>
        </x:is>
      </x:c>
      <x:c r="J153" s="4" t="inlineStr">
        <x:is>
          <x:t xml:space="preserve">Cartão</x:t>
        </x:is>
      </x:c>
      <x:c r="K153" s="4" t="inlineStr">
        <x:is>
          <x:t xml:space="preserve">Cartão Corporativo</x:t>
        </x:is>
      </x:c>
      <x:c r="L153" s="4" t="inlineStr">
        <x:is>
          <x:t xml:space="preserve">Pago</x:t>
        </x:is>
      </x:c>
      <x:c r="M153" s="13" t="n">
        <x:v>45695</x:v>
      </x:c>
      <x:c r="N153" s="13" t="n">
        <x:v>45695</x:v>
      </x:c>
      <x:c r="O153" s="14" t="n">
        <x:v>20258.07</x:v>
      </x:c>
      <x:c r="P153" s="14" t="n">
        <x:v>405.16</x:v>
      </x:c>
      <x:c r="Q153" s="14" t="n">
        <x:v>0</x:v>
      </x:c>
      <x:c r="R153" s="14">
        <x:f>IF(D153="Receita",O153-P153+Q153,-(O153-P153+Q153))</x:f>
        <x:v>19852.91</x:v>
      </x:c>
      <x:c r="S153" s="4" t="inlineStr">
        <x:is>
          <x:t xml:space="preserve">Projeto Sigma</x:t>
        </x:is>
      </x:c>
      <x:c r="T153" s="4" t="inlineStr">
        <x:is>
          <x:t xml:space="preserve">Renovação anual</x:t>
        </x:is>
      </x:c>
    </x:row>
    <x:row r="154">
      <x:c r="A154" s="4" t="n">
        <x:v>153</x:v>
      </x:c>
      <x:c r="B154" s="13" t="n">
        <x:v>45718</x:v>
      </x:c>
      <x:c r="C154" s="4" t="inlineStr">
        <x:is>
          <x:t xml:space="preserve">2025-03</x:t>
        </x:is>
      </x:c>
      <x:c r="D154" s="4" t="inlineStr">
        <x:is>
          <x:t xml:space="preserve">Receita</x:t>
        </x:is>
      </x:c>
      <x:c r="E154" s="4" t="inlineStr">
        <x:is>
          <x:t xml:space="preserve">Receita Financeira</x:t>
        </x:is>
      </x:c>
      <x:c r="F154" s="4" t="inlineStr">
        <x:is>
          <x:t xml:space="preserve">Juros Recebidos</x:t>
        </x:is>
      </x:c>
      <x:c r="G154" s="4" t="inlineStr">
        <x:is>
          <x:t xml:space="preserve">Comercial</x:t>
        </x:is>
      </x:c>
      <x:c r="H154" s="4" t="inlineStr">
        <x:is>
          <x:t xml:space="preserve">Juros Recebidos - Cliente Beta</x:t>
        </x:is>
      </x:c>
      <x:c r="I154" s="4" t="inlineStr">
        <x:is>
          <x:t xml:space="preserve">Cliente Beta</x:t>
        </x:is>
      </x:c>
      <x:c r="J154" s="4" t="inlineStr">
        <x:is>
          <x:t xml:space="preserve">TED</x:t>
        </x:is>
      </x:c>
      <x:c r="K154" s="4" t="inlineStr">
        <x:is>
          <x:t xml:space="preserve">Caixa</x:t>
        </x:is>
      </x:c>
      <x:c r="L154" s="4" t="inlineStr">
        <x:is>
          <x:t xml:space="preserve">Pago</x:t>
        </x:is>
      </x:c>
      <x:c r="M154" s="13" t="n">
        <x:v>45738</x:v>
      </x:c>
      <x:c r="N154" s="13" t="n">
        <x:v>45738</x:v>
      </x:c>
      <x:c r="O154" s="14" t="n">
        <x:v>3425.66</x:v>
      </x:c>
      <x:c r="P154" s="14" t="n">
        <x:v>68.51000000000001</x:v>
      </x:c>
      <x:c r="Q154" s="14" t="n">
        <x:v>0</x:v>
      </x:c>
      <x:c r="R154" s="14">
        <x:f>IF(D154="Receita",O154-P154+Q154,-(O154-P154+Q154))</x:f>
        <x:v>3357.1499999999996</x:v>
      </x:c>
      <x:c r="S154" s="4" t="inlineStr">
        <x:is>
          <x:t xml:space="preserve">Expansão</x:t>
        </x:is>
      </x:c>
      <x:c r="T154" s="4" t="inlineStr">
        <x:is>
          <x:t xml:space="preserve">Renovação anual</x:t>
        </x:is>
      </x:c>
    </x:row>
    <x:row r="155">
      <x:c r="A155" s="4" t="n">
        <x:v>154</x:v>
      </x:c>
      <x:c r="B155" s="13" t="n">
        <x:v>45771</x:v>
      </x:c>
      <x:c r="C155" s="4" t="inlineStr">
        <x:is>
          <x:t xml:space="preserve">2025-04</x:t>
        </x:is>
      </x:c>
      <x:c r="D155" s="4" t="inlineStr">
        <x:is>
          <x:t xml:space="preserve">Receita</x:t>
        </x:is>
      </x:c>
      <x:c r="E155" s="4" t="inlineStr">
        <x:is>
          <x:t xml:space="preserve">Outras Receitas</x:t>
        </x:is>
      </x:c>
      <x:c r="F155" s="4" t="inlineStr">
        <x:is>
          <x:t xml:space="preserve">Venda de Ativo</x:t>
        </x:is>
      </x:c>
      <x:c r="G155" s="4" t="inlineStr">
        <x:is>
          <x:t xml:space="preserve">Comercial</x:t>
        </x:is>
      </x:c>
      <x:c r="H155" s="4" t="inlineStr">
        <x:is>
          <x:t xml:space="preserve">Venda de Ativo - Cliente Beta</x:t>
        </x:is>
      </x:c>
      <x:c r="I155" s="4" t="inlineStr">
        <x:is>
          <x:t xml:space="preserve">Cliente Beta</x:t>
        </x:is>
      </x:c>
      <x:c r="J155" s="4" t="inlineStr">
        <x:is>
          <x:t xml:space="preserve">Boleto</x:t>
        </x:is>
      </x:c>
      <x:c r="K155" s="4" t="inlineStr">
        <x:is>
          <x:t xml:space="preserve">Conta Investimento</x:t>
        </x:is>
      </x:c>
      <x:c r="L155" s="4" t="inlineStr">
        <x:is>
          <x:t xml:space="preserve">Pago</x:t>
        </x:is>
      </x:c>
      <x:c r="M155" s="13" t="n">
        <x:v>45777</x:v>
      </x:c>
      <x:c r="N155" s="13" t="n">
        <x:v>45777</x:v>
      </x:c>
      <x:c r="O155" s="14" t="n">
        <x:v>13563.32</x:v>
      </x:c>
      <x:c r="P155" s="14" t="n">
        <x:v>0</x:v>
      </x:c>
      <x:c r="Q155" s="14" t="n">
        <x:v>15</x:v>
      </x:c>
      <x:c r="R155" s="14">
        <x:f>IF(D155="Receita",O155-P155+Q155,-(O155-P155+Q155))</x:f>
        <x:v>13578.32</x:v>
      </x:c>
      <x:c r="S155" s="4" t="inlineStr">
        <x:is>
          <x:t xml:space="preserve">Projeto Atlas</x:t>
        </x:is>
      </x:c>
      <x:c r="T155" s="4" t="inlineStr">
        <x:is>
          <x:t xml:space="preserve">Ajuste financeiro</x:t>
        </x:is>
      </x:c>
    </x:row>
    <x:row r="156">
      <x:c r="A156" s="4" t="n">
        <x:v>155</x:v>
      </x:c>
      <x:c r="B156" s="13" t="n">
        <x:v>45716</x:v>
      </x:c>
      <x:c r="C156" s="4" t="inlineStr">
        <x:is>
          <x:t xml:space="preserve">2025-02</x:t>
        </x:is>
      </x:c>
      <x:c r="D156" s="4" t="inlineStr">
        <x:is>
          <x:t xml:space="preserve">Despesa</x:t>
        </x:is>
      </x:c>
      <x:c r="E156" s="4" t="inlineStr">
        <x:is>
          <x:t xml:space="preserve">Marketing</x:t>
        </x:is>
      </x:c>
      <x:c r="F156" s="4" t="inlineStr">
        <x:is>
          <x:t xml:space="preserve">Design</x:t>
        </x:is>
      </x:c>
      <x:c r="G156" s="4" t="inlineStr">
        <x:is>
          <x:t xml:space="preserve">Comercial</x:t>
        </x:is>
      </x:c>
      <x:c r="H156" s="4" t="inlineStr">
        <x:is>
          <x:t xml:space="preserve">Design - Fornecedor Nexus</x:t>
        </x:is>
      </x:c>
      <x:c r="I156" s="4" t="inlineStr">
        <x:is>
          <x:t xml:space="preserve">Fornecedor Nexus</x:t>
        </x:is>
      </x:c>
      <x:c r="J156" s="4" t="inlineStr">
        <x:is>
          <x:t xml:space="preserve">Boleto</x:t>
        </x:is>
      </x:c>
      <x:c r="K156" s="4" t="inlineStr">
        <x:is>
          <x:t xml:space="preserve">Conta Investimento</x:t>
        </x:is>
      </x:c>
      <x:c r="L156" s="4" t="inlineStr">
        <x:is>
          <x:t xml:space="preserve">Pago</x:t>
        </x:is>
      </x:c>
      <x:c r="M156" s="13" t="n">
        <x:v>45724</x:v>
      </x:c>
      <x:c r="N156" s="13" t="n">
        <x:v>45724</x:v>
      </x:c>
      <x:c r="O156" s="14" t="n">
        <x:v>16016.71</x:v>
      </x:c>
      <x:c r="P156" s="14" t="n">
        <x:v>100</x:v>
      </x:c>
      <x:c r="Q156" s="14" t="n">
        <x:v>0</x:v>
      </x:c>
      <x:c r="R156" s="14">
        <x:f>IF(D156="Receita",O156-P156+Q156,-(O156-P156+Q156))</x:f>
        <x:v>-15916.71</x:v>
      </x:c>
      <x:c r="S156" s="4" t="inlineStr">
        <x:is>
          <x:t xml:space="preserve">Expansão</x:t>
        </x:is>
      </x:c>
      <x:c r="T156" s="4" t="inlineStr">
        <x:is>
          <x:t xml:space="preserve">Sem observações</x:t>
        </x:is>
      </x:c>
    </x:row>
    <x:row r="157">
      <x:c r="A157" s="4" t="n">
        <x:v>156</x:v>
      </x:c>
      <x:c r="B157" s="13" t="n">
        <x:v>45818</x:v>
      </x:c>
      <x:c r="C157" s="4" t="inlineStr">
        <x:is>
          <x:t xml:space="preserve">2025-06</x:t>
        </x:is>
      </x:c>
      <x:c r="D157" s="4" t="inlineStr">
        <x:is>
          <x:t xml:space="preserve">Despesa</x:t>
        </x:is>
      </x:c>
      <x:c r="E157" s="4" t="inlineStr">
        <x:is>
          <x:t xml:space="preserve">Administrativo</x:t>
        </x:is>
      </x:c>
      <x:c r="F157" s="4" t="inlineStr">
        <x:is>
          <x:t xml:space="preserve">Aluguel</x:t>
        </x:is>
      </x:c>
      <x:c r="G157" s="4" t="inlineStr">
        <x:is>
          <x:t xml:space="preserve">Comercial</x:t>
        </x:is>
      </x:c>
      <x:c r="H157" s="4" t="inlineStr">
        <x:is>
          <x:t xml:space="preserve">Aluguel - CloudFast</x:t>
        </x:is>
      </x:c>
      <x:c r="I157" s="4" t="inlineStr">
        <x:is>
          <x:t xml:space="preserve">CloudFast</x:t>
        </x:is>
      </x:c>
      <x:c r="J157" s="4" t="inlineStr">
        <x:is>
          <x:t xml:space="preserve">Cartão</x:t>
        </x:is>
      </x:c>
      <x:c r="K157" s="4" t="inlineStr">
        <x:is>
          <x:t xml:space="preserve">Caixa</x:t>
        </x:is>
      </x:c>
      <x:c r="L157" s="4" t="inlineStr">
        <x:is>
          <x:t xml:space="preserve">Pago</x:t>
        </x:is>
      </x:c>
      <x:c r="M157" s="13" t="n">
        <x:v>45831</x:v>
      </x:c>
      <x:c r="N157" s="13" t="n">
        <x:v>45831</x:v>
      </x:c>
      <x:c r="O157" s="14" t="n">
        <x:v>1257.26</x:v>
      </x:c>
      <x:c r="P157" s="14" t="n">
        <x:v>100</x:v>
      </x:c>
      <x:c r="Q157" s="14" t="n">
        <x:v>10</x:v>
      </x:c>
      <x:c r="R157" s="14">
        <x:f>IF(D157="Receita",O157-P157+Q157,-(O157-P157+Q157))</x:f>
        <x:v>-1167.26</x:v>
      </x:c>
      <x:c r="S157" s="4" t="inlineStr">
        <x:is>
          <x:t xml:space="preserve">Projeto Sigma</x:t>
        </x:is>
      </x:c>
      <x:c r="T157" s="4" t="inlineStr">
        <x:is>
          <x:t xml:space="preserve">Sem observações</x:t>
        </x:is>
      </x:c>
    </x:row>
    <x:row r="158">
      <x:c r="A158" s="4" t="n">
        <x:v>157</x:v>
      </x:c>
      <x:c r="B158" s="13" t="n">
        <x:v>45784</x:v>
      </x:c>
      <x:c r="C158" s="4" t="inlineStr">
        <x:is>
          <x:t xml:space="preserve">2025-05</x:t>
        </x:is>
      </x:c>
      <x:c r="D158" s="4" t="inlineStr">
        <x:is>
          <x:t xml:space="preserve">Receita</x:t>
        </x:is>
      </x:c>
      <x:c r="E158" s="4" t="inlineStr">
        <x:is>
          <x:t xml:space="preserve">Receita Financeira</x:t>
        </x:is>
      </x:c>
      <x:c r="F158" s="4" t="inlineStr">
        <x:is>
          <x:t xml:space="preserve">Juros Recebidos</x:t>
        </x:is>
      </x:c>
      <x:c r="G158" s="4" t="inlineStr">
        <x:is>
          <x:t xml:space="preserve">Comercial</x:t>
        </x:is>
      </x:c>
      <x:c r="H158" s="4" t="inlineStr">
        <x:is>
          <x:t xml:space="preserve">Juros Recebidos - Cliente Beta</x:t>
        </x:is>
      </x:c>
      <x:c r="I158" s="4" t="inlineStr">
        <x:is>
          <x:t xml:space="preserve">Cliente Beta</x:t>
        </x:is>
      </x:c>
      <x:c r="J158" s="4" t="inlineStr">
        <x:is>
          <x:t xml:space="preserve">Cartão</x:t>
        </x:is>
      </x:c>
      <x:c r="K158" s="4" t="inlineStr">
        <x:is>
          <x:t xml:space="preserve">Banco Principal</x:t>
        </x:is>
      </x:c>
      <x:c r="L158" s="4" t="inlineStr">
        <x:is>
          <x:t xml:space="preserve">Atrasado</x:t>
        </x:is>
      </x:c>
      <x:c r="M158" s="13" t="n">
        <x:v>45789</x:v>
      </x:c>
      <x:c r="N158" s="13" t="n"/>
      <x:c r="O158" s="14" t="n">
        <x:v>30712.46</x:v>
      </x:c>
      <x:c r="P158" s="14" t="n">
        <x:v>614.25</x:v>
      </x:c>
      <x:c r="Q158" s="14" t="n">
        <x:v>0</x:v>
      </x:c>
      <x:c r="R158" s="14">
        <x:f>IF(D158="Receita",O158-P158+Q158,-(O158-P158+Q158))</x:f>
        <x:v>30098.21</x:v>
      </x:c>
      <x:c r="S158" s="4" t="inlineStr">
        <x:is>
          <x:t xml:space="preserve">Projeto Atlas</x:t>
        </x:is>
      </x:c>
      <x:c r="T158" s="4" t="inlineStr">
        <x:is>
          <x:t xml:space="preserve">Sem observações</x:t>
        </x:is>
      </x:c>
    </x:row>
    <x:row r="159">
      <x:c r="A159" s="4" t="n">
        <x:v>158</x:v>
      </x:c>
      <x:c r="B159" s="13" t="n">
        <x:v>45753</x:v>
      </x:c>
      <x:c r="C159" s="4" t="inlineStr">
        <x:is>
          <x:t xml:space="preserve">2025-04</x:t>
        </x:is>
      </x:c>
      <x:c r="D159" s="4" t="inlineStr">
        <x:is>
          <x:t xml:space="preserve">Despesa</x:t>
        </x:is>
      </x:c>
      <x:c r="E159" s="4" t="inlineStr">
        <x:is>
          <x:t xml:space="preserve">Folha</x:t>
        </x:is>
      </x:c>
      <x:c r="F159" s="4" t="inlineStr">
        <x:is>
          <x:t xml:space="preserve">Encargos</x:t>
        </x:is>
      </x:c>
      <x:c r="G159" s="4" t="inlineStr">
        <x:is>
          <x:t xml:space="preserve">TI</x:t>
        </x:is>
      </x:c>
      <x:c r="H159" s="4" t="inlineStr">
        <x:is>
          <x:t xml:space="preserve">Encargos - OfficePlus</x:t>
        </x:is>
      </x:c>
      <x:c r="I159" s="4" t="inlineStr">
        <x:is>
          <x:t xml:space="preserve">OfficePlus</x:t>
        </x:is>
      </x:c>
      <x:c r="J159" s="4" t="inlineStr">
        <x:is>
          <x:t xml:space="preserve">Cartão</x:t>
        </x:is>
      </x:c>
      <x:c r="K159" s="4" t="inlineStr">
        <x:is>
          <x:t xml:space="preserve">Cartão Corporativo</x:t>
        </x:is>
      </x:c>
      <x:c r="L159" s="4" t="inlineStr">
        <x:is>
          <x:t xml:space="preserve">Pago</x:t>
        </x:is>
      </x:c>
      <x:c r="M159" s="13" t="n">
        <x:v>45764</x:v>
      </x:c>
      <x:c r="N159" s="13" t="n">
        <x:v>45764</x:v>
      </x:c>
      <x:c r="O159" s="14" t="n">
        <x:v>17439.73</x:v>
      </x:c>
      <x:c r="P159" s="14" t="n">
        <x:v>0</x:v>
      </x:c>
      <x:c r="Q159" s="14" t="n">
        <x:v>0</x:v>
      </x:c>
      <x:c r="R159" s="14">
        <x:f>IF(D159="Receita",O159-P159+Q159,-(O159-P159+Q159))</x:f>
        <x:v>-17439.73</x:v>
      </x:c>
      <x:c r="S159" s="4" t="inlineStr">
        <x:is>
          <x:t xml:space="preserve">Expansão</x:t>
        </x:is>
      </x:c>
      <x:c r="T159" s="4" t="inlineStr">
        <x:is>
          <x:t xml:space="preserve"/>
        </x:is>
      </x:c>
    </x:row>
    <x:row r="160">
      <x:c r="A160" s="4" t="n">
        <x:v>159</x:v>
      </x:c>
      <x:c r="B160" s="13" t="n">
        <x:v>45732</x:v>
      </x:c>
      <x:c r="C160" s="4" t="inlineStr">
        <x:is>
          <x:t xml:space="preserve">2025-03</x:t>
        </x:is>
      </x:c>
      <x:c r="D160" s="4" t="inlineStr">
        <x:is>
          <x:t xml:space="preserve">Despesa</x:t>
        </x:is>
      </x:c>
      <x:c r="E160" s="4" t="inlineStr">
        <x:is>
          <x:t xml:space="preserve">Operacional</x:t>
        </x:is>
      </x:c>
      <x:c r="F160" s="4" t="inlineStr">
        <x:is>
          <x:t xml:space="preserve">Manutenção</x:t>
        </x:is>
      </x:c>
      <x:c r="G160" s="4" t="inlineStr">
        <x:is>
          <x:t xml:space="preserve">Comercial</x:t>
        </x:is>
      </x:c>
      <x:c r="H160" s="4" t="inlineStr">
        <x:is>
          <x:t xml:space="preserve">Manutenção - OfficePlus</x:t>
        </x:is>
      </x:c>
      <x:c r="I160" s="4" t="inlineStr">
        <x:is>
          <x:t xml:space="preserve">OfficePlus</x:t>
        </x:is>
      </x:c>
      <x:c r="J160" s="4" t="inlineStr">
        <x:is>
          <x:t xml:space="preserve">PIX</x:t>
        </x:is>
      </x:c>
      <x:c r="K160" s="4" t="inlineStr">
        <x:is>
          <x:t xml:space="preserve">Conta Investimento</x:t>
        </x:is>
      </x:c>
      <x:c r="L160" s="4" t="inlineStr">
        <x:is>
          <x:t xml:space="preserve">Pago</x:t>
        </x:is>
      </x:c>
      <x:c r="M160" s="13" t="n">
        <x:v>45732</x:v>
      </x:c>
      <x:c r="N160" s="13" t="n">
        <x:v>45732</x:v>
      </x:c>
      <x:c r="O160" s="14" t="n">
        <x:v>9586.75</x:v>
      </x:c>
      <x:c r="P160" s="14" t="n">
        <x:v>50</x:v>
      </x:c>
      <x:c r="Q160" s="14" t="n">
        <x:v>0</x:v>
      </x:c>
      <x:c r="R160" s="14">
        <x:f>IF(D160="Receita",O160-P160+Q160,-(O160-P160+Q160))</x:f>
        <x:v>-9536.75</x:v>
      </x:c>
      <x:c r="S160" s="4" t="inlineStr">
        <x:is>
          <x:t xml:space="preserve">Expansão</x:t>
        </x:is>
      </x:c>
      <x:c r="T160" s="4" t="inlineStr">
        <x:is>
          <x:t xml:space="preserve">Renovação anual</x:t>
        </x:is>
      </x:c>
    </x:row>
    <x:row r="161">
      <x:c r="A161" s="4" t="n">
        <x:v>160</x:v>
      </x:c>
      <x:c r="B161" s="13" t="n">
        <x:v>45700</x:v>
      </x:c>
      <x:c r="C161" s="4" t="inlineStr">
        <x:is>
          <x:t xml:space="preserve">2025-02</x:t>
        </x:is>
      </x:c>
      <x:c r="D161" s="4" t="inlineStr">
        <x:is>
          <x:t xml:space="preserve">Receita</x:t>
        </x:is>
      </x:c>
      <x:c r="E161" s="4" t="inlineStr">
        <x:is>
          <x:t xml:space="preserve">Receita Financeira</x:t>
        </x:is>
      </x:c>
      <x:c r="F161" s="4" t="inlineStr">
        <x:is>
          <x:t xml:space="preserve">Rendimento Conta</x:t>
        </x:is>
      </x:c>
      <x:c r="G161" s="4" t="inlineStr">
        <x:is>
          <x:t xml:space="preserve">Comercial</x:t>
        </x:is>
      </x:c>
      <x:c r="H161" s="4" t="inlineStr">
        <x:is>
          <x:t xml:space="preserve">Rendimento Conta - Cliente Alfa</x:t>
        </x:is>
      </x:c>
      <x:c r="I161" s="4" t="inlineStr">
        <x:is>
          <x:t xml:space="preserve">Cliente Alfa</x:t>
        </x:is>
      </x:c>
      <x:c r="J161" s="4" t="inlineStr">
        <x:is>
          <x:t xml:space="preserve">TED</x:t>
        </x:is>
      </x:c>
      <x:c r="K161" s="4" t="inlineStr">
        <x:is>
          <x:t xml:space="preserve">Conta Investimento</x:t>
        </x:is>
      </x:c>
      <x:c r="L161" s="4" t="inlineStr">
        <x:is>
          <x:t xml:space="preserve">Atrasado</x:t>
        </x:is>
      </x:c>
      <x:c r="M161" s="13" t="n">
        <x:v>45700</x:v>
      </x:c>
      <x:c r="N161" s="13" t="n"/>
      <x:c r="O161" s="14" t="n">
        <x:v>4731.79</x:v>
      </x:c>
      <x:c r="P161" s="14" t="n">
        <x:v>0</x:v>
      </x:c>
      <x:c r="Q161" s="14" t="n">
        <x:v>0</x:v>
      </x:c>
      <x:c r="R161" s="14">
        <x:f>IF(D161="Receita",O161-P161+Q161,-(O161-P161+Q161))</x:f>
        <x:v>4731.79</x:v>
      </x:c>
      <x:c r="S161" s="4" t="inlineStr">
        <x:is>
          <x:t xml:space="preserve">Rotina</x:t>
        </x:is>
      </x:c>
      <x:c r="T161" s="4" t="inlineStr">
        <x:is>
          <x:t xml:space="preserve"/>
        </x:is>
      </x:c>
    </x:row>
    <x:row r="162">
      <x:c r="A162" s="4" t="n">
        <x:v>161</x:v>
      </x:c>
      <x:c r="B162" s="13" t="n">
        <x:v>45747</x:v>
      </x:c>
      <x:c r="C162" s="4" t="inlineStr">
        <x:is>
          <x:t xml:space="preserve">2025-03</x:t>
        </x:is>
      </x:c>
      <x:c r="D162" s="4" t="inlineStr">
        <x:is>
          <x:t xml:space="preserve">Despesa</x:t>
        </x:is>
      </x:c>
      <x:c r="E162" s="4" t="inlineStr">
        <x:is>
          <x:t xml:space="preserve">Marketing</x:t>
        </x:is>
      </x:c>
      <x:c r="F162" s="4" t="inlineStr">
        <x:is>
          <x:t xml:space="preserve">Anúncios</x:t>
        </x:is>
      </x:c>
      <x:c r="G162" s="4" t="inlineStr">
        <x:is>
          <x:t xml:space="preserve">Comercial</x:t>
        </x:is>
      </x:c>
      <x:c r="H162" s="4" t="inlineStr">
        <x:is>
          <x:t xml:space="preserve">Anúncios - ContaFácil</x:t>
        </x:is>
      </x:c>
      <x:c r="I162" s="4" t="inlineStr">
        <x:is>
          <x:t xml:space="preserve">ContaFácil</x:t>
        </x:is>
      </x:c>
      <x:c r="J162" s="4" t="inlineStr">
        <x:is>
          <x:t xml:space="preserve">PIX</x:t>
        </x:is>
      </x:c>
      <x:c r="K162" s="4" t="inlineStr">
        <x:is>
          <x:t xml:space="preserve">Banco Principal</x:t>
        </x:is>
      </x:c>
      <x:c r="L162" s="4" t="inlineStr">
        <x:is>
          <x:t xml:space="preserve">Pago</x:t>
        </x:is>
      </x:c>
      <x:c r="M162" s="13" t="n">
        <x:v>45755</x:v>
      </x:c>
      <x:c r="N162" s="13" t="n">
        <x:v>45755</x:v>
      </x:c>
      <x:c r="O162" s="14" t="n">
        <x:v>8410.030000000001</x:v>
      </x:c>
      <x:c r="P162" s="14" t="n">
        <x:v>50</x:v>
      </x:c>
      <x:c r="Q162" s="14" t="n">
        <x:v>10</x:v>
      </x:c>
      <x:c r="R162" s="14">
        <x:f>IF(D162="Receita",O162-P162+Q162,-(O162-P162+Q162))</x:f>
        <x:v>-8370.03</x:v>
      </x:c>
      <x:c r="S162" s="4" t="inlineStr">
        <x:is>
          <x:t xml:space="preserve">Rotina</x:t>
        </x:is>
      </x:c>
      <x:c r="T162" s="4" t="inlineStr">
        <x:is>
          <x:t xml:space="preserve">Renovação anual</x:t>
        </x:is>
      </x:c>
    </x:row>
    <x:row r="163">
      <x:c r="A163" s="4" t="n">
        <x:v>162</x:v>
      </x:c>
      <x:c r="B163" s="13" t="n">
        <x:v>45796</x:v>
      </x:c>
      <x:c r="C163" s="4" t="inlineStr">
        <x:is>
          <x:t xml:space="preserve">2025-05</x:t>
        </x:is>
      </x:c>
      <x:c r="D163" s="4" t="inlineStr">
        <x:is>
          <x:t xml:space="preserve">Despesa</x:t>
        </x:is>
      </x:c>
      <x:c r="E163" s="4" t="inlineStr">
        <x:is>
          <x:t xml:space="preserve">Marketing</x:t>
        </x:is>
      </x:c>
      <x:c r="F163" s="4" t="inlineStr">
        <x:is>
          <x:t xml:space="preserve">Anúncios</x:t>
        </x:is>
      </x:c>
      <x:c r="G163" s="4" t="inlineStr">
        <x:is>
          <x:t xml:space="preserve">Diretoria</x:t>
        </x:is>
      </x:c>
      <x:c r="H163" s="4" t="inlineStr">
        <x:is>
          <x:t xml:space="preserve">Anúncios - EnergiaSul</x:t>
        </x:is>
      </x:c>
      <x:c r="I163" s="4" t="inlineStr">
        <x:is>
          <x:t xml:space="preserve">EnergiaSul</x:t>
        </x:is>
      </x:c>
      <x:c r="J163" s="4" t="inlineStr">
        <x:is>
          <x:t xml:space="preserve">TED</x:t>
        </x:is>
      </x:c>
      <x:c r="K163" s="4" t="inlineStr">
        <x:is>
          <x:t xml:space="preserve">Banco Principal</x:t>
        </x:is>
      </x:c>
      <x:c r="L163" s="4" t="inlineStr">
        <x:is>
          <x:t xml:space="preserve">Pendente</x:t>
        </x:is>
      </x:c>
      <x:c r="M163" s="13" t="n">
        <x:v>45796</x:v>
      </x:c>
      <x:c r="N163" s="13" t="n"/>
      <x:c r="O163" s="14" t="n">
        <x:v>8360.02</x:v>
      </x:c>
      <x:c r="P163" s="14" t="n">
        <x:v>20</x:v>
      </x:c>
      <x:c r="Q163" s="14" t="n">
        <x:v>0</x:v>
      </x:c>
      <x:c r="R163" s="14">
        <x:f>IF(D163="Receita",O163-P163+Q163,-(O163-P163+Q163))</x:f>
        <x:v>-8340.02</x:v>
      </x:c>
      <x:c r="S163" s="4" t="inlineStr">
        <x:is>
          <x:t xml:space="preserve">Rotina</x:t>
        </x:is>
      </x:c>
      <x:c r="T163" s="4" t="inlineStr">
        <x:is>
          <x:t xml:space="preserve"/>
        </x:is>
      </x:c>
    </x:row>
    <x:row r="164">
      <x:c r="A164" s="4" t="n">
        <x:v>163</x:v>
      </x:c>
      <x:c r="B164" s="13" t="n">
        <x:v>45750</x:v>
      </x:c>
      <x:c r="C164" s="4" t="inlineStr">
        <x:is>
          <x:t xml:space="preserve">2025-04</x:t>
        </x:is>
      </x:c>
      <x:c r="D164" s="4" t="inlineStr">
        <x:is>
          <x:t xml:space="preserve">Despesa</x:t>
        </x:is>
      </x:c>
      <x:c r="E164" s="4" t="inlineStr">
        <x:is>
          <x:t xml:space="preserve">Marketing</x:t>
        </x:is>
      </x:c>
      <x:c r="F164" s="4" t="inlineStr">
        <x:is>
          <x:t xml:space="preserve">Eventos</x:t>
        </x:is>
      </x:c>
      <x:c r="G164" s="4" t="inlineStr">
        <x:is>
          <x:t xml:space="preserve">TI</x:t>
        </x:is>
      </x:c>
      <x:c r="H164" s="4" t="inlineStr">
        <x:is>
          <x:t xml:space="preserve">Eventos - EnergiaSul</x:t>
        </x:is>
      </x:c>
      <x:c r="I164" s="4" t="inlineStr">
        <x:is>
          <x:t xml:space="preserve">EnergiaSul</x:t>
        </x:is>
      </x:c>
      <x:c r="J164" s="4" t="inlineStr">
        <x:is>
          <x:t xml:space="preserve">PIX</x:t>
        </x:is>
      </x:c>
      <x:c r="K164" s="4" t="inlineStr">
        <x:is>
          <x:t xml:space="preserve">Caixa</x:t>
        </x:is>
      </x:c>
      <x:c r="L164" s="4" t="inlineStr">
        <x:is>
          <x:t xml:space="preserve">Pendente</x:t>
        </x:is>
      </x:c>
      <x:c r="M164" s="13" t="n">
        <x:v>45760</x:v>
      </x:c>
      <x:c r="N164" s="13" t="n"/>
      <x:c r="O164" s="14" t="n">
        <x:v>15187.03</x:v>
      </x:c>
      <x:c r="P164" s="14" t="n">
        <x:v>50</x:v>
      </x:c>
      <x:c r="Q164" s="14" t="n">
        <x:v>40</x:v>
      </x:c>
      <x:c r="R164" s="14">
        <x:f>IF(D164="Receita",O164-P164+Q164,-(O164-P164+Q164))</x:f>
        <x:v>-15177.03</x:v>
      </x:c>
      <x:c r="S164" s="4" t="inlineStr">
        <x:is>
          <x:t xml:space="preserve">Expansão</x:t>
        </x:is>
      </x:c>
      <x:c r="T164" s="4" t="inlineStr">
        <x:is>
          <x:t xml:space="preserve">Renovação anual</x:t>
        </x:is>
      </x:c>
    </x:row>
    <x:row r="165">
      <x:c r="A165" s="4" t="n">
        <x:v>164</x:v>
      </x:c>
      <x:c r="B165" s="13" t="n">
        <x:v>45832</x:v>
      </x:c>
      <x:c r="C165" s="4" t="inlineStr">
        <x:is>
          <x:t xml:space="preserve">2025-06</x:t>
        </x:is>
      </x:c>
      <x:c r="D165" s="4" t="inlineStr">
        <x:is>
          <x:t xml:space="preserve">Despesa</x:t>
        </x:is>
      </x:c>
      <x:c r="E165" s="4" t="inlineStr">
        <x:is>
          <x:t xml:space="preserve">Marketing</x:t>
        </x:is>
      </x:c>
      <x:c r="F165" s="4" t="inlineStr">
        <x:is>
          <x:t xml:space="preserve">Eventos</x:t>
        </x:is>
      </x:c>
      <x:c r="G165" s="4" t="inlineStr">
        <x:is>
          <x:t xml:space="preserve">Comercial</x:t>
        </x:is>
      </x:c>
      <x:c r="H165" s="4" t="inlineStr">
        <x:is>
          <x:t xml:space="preserve">Eventos - EnergiaSul</x:t>
        </x:is>
      </x:c>
      <x:c r="I165" s="4" t="inlineStr">
        <x:is>
          <x:t xml:space="preserve">EnergiaSul</x:t>
        </x:is>
      </x:c>
      <x:c r="J165" s="4" t="inlineStr">
        <x:is>
          <x:t xml:space="preserve">TED</x:t>
        </x:is>
      </x:c>
      <x:c r="K165" s="4" t="inlineStr">
        <x:is>
          <x:t xml:space="preserve">Conta Investimento</x:t>
        </x:is>
      </x:c>
      <x:c r="L165" s="4" t="inlineStr">
        <x:is>
          <x:t xml:space="preserve">Pago</x:t>
        </x:is>
      </x:c>
      <x:c r="M165" s="13" t="n">
        <x:v>45834</x:v>
      </x:c>
      <x:c r="N165" s="13" t="n">
        <x:v>45834</x:v>
      </x:c>
      <x:c r="O165" s="14" t="n">
        <x:v>6610.62</x:v>
      </x:c>
      <x:c r="P165" s="14" t="n">
        <x:v>50</x:v>
      </x:c>
      <x:c r="Q165" s="14" t="n">
        <x:v>0</x:v>
      </x:c>
      <x:c r="R165" s="14">
        <x:f>IF(D165="Receita",O165-P165+Q165,-(O165-P165+Q165))</x:f>
        <x:v>-6560.62</x:v>
      </x:c>
      <x:c r="S165" s="4" t="inlineStr">
        <x:is>
          <x:t xml:space="preserve">Expansão</x:t>
        </x:is>
      </x:c>
      <x:c r="T165" s="4" t="inlineStr">
        <x:is>
          <x:t xml:space="preserve">Sem observações</x:t>
        </x:is>
      </x:c>
    </x:row>
    <x:row r="166">
      <x:c r="A166" s="4" t="n">
        <x:v>165</x:v>
      </x:c>
      <x:c r="B166" s="13" t="n">
        <x:v>45663</x:v>
      </x:c>
      <x:c r="C166" s="4" t="inlineStr">
        <x:is>
          <x:t xml:space="preserve">2025-01</x:t>
        </x:is>
      </x:c>
      <x:c r="D166" s="4" t="inlineStr">
        <x:is>
          <x:t xml:space="preserve">Receita</x:t>
        </x:is>
      </x:c>
      <x:c r="E166" s="4" t="inlineStr">
        <x:is>
          <x:t xml:space="preserve">Receita Financeira</x:t>
        </x:is>
      </x:c>
      <x:c r="F166" s="4" t="inlineStr">
        <x:is>
          <x:t xml:space="preserve">Juros Recebidos</x:t>
        </x:is>
      </x:c>
      <x:c r="G166" s="4" t="inlineStr">
        <x:is>
          <x:t xml:space="preserve">Comercial</x:t>
        </x:is>
      </x:c>
      <x:c r="H166" s="4" t="inlineStr">
        <x:is>
          <x:t xml:space="preserve">Juros Recebidos - Cliente Delta</x:t>
        </x:is>
      </x:c>
      <x:c r="I166" s="4" t="inlineStr">
        <x:is>
          <x:t xml:space="preserve">Cliente Delta</x:t>
        </x:is>
      </x:c>
      <x:c r="J166" s="4" t="inlineStr">
        <x:is>
          <x:t xml:space="preserve">Cartão</x:t>
        </x:is>
      </x:c>
      <x:c r="K166" s="4" t="inlineStr">
        <x:is>
          <x:t xml:space="preserve">Banco Principal</x:t>
        </x:is>
      </x:c>
      <x:c r="L166" s="4" t="inlineStr">
        <x:is>
          <x:t xml:space="preserve">Atrasado</x:t>
        </x:is>
      </x:c>
      <x:c r="M166" s="13" t="n">
        <x:v>45683</x:v>
      </x:c>
      <x:c r="N166" s="13" t="n">
        <x:v>45703</x:v>
      </x:c>
      <x:c r="O166" s="14" t="n">
        <x:v>22712.59</x:v>
      </x:c>
      <x:c r="P166" s="14" t="n">
        <x:v>0</x:v>
      </x:c>
      <x:c r="Q166" s="14" t="n">
        <x:v>0</x:v>
      </x:c>
      <x:c r="R166" s="14">
        <x:f>IF(D166="Receita",O166-P166+Q166,-(O166-P166+Q166))</x:f>
        <x:v>22712.59</x:v>
      </x:c>
      <x:c r="S166" s="4" t="inlineStr">
        <x:is>
          <x:t xml:space="preserve">Expansão</x:t>
        </x:is>
      </x:c>
      <x:c r="T166" s="4" t="inlineStr">
        <x:is>
          <x:t xml:space="preserve"/>
        </x:is>
      </x:c>
    </x:row>
    <x:row r="167">
      <x:c r="A167" s="4" t="n">
        <x:v>166</x:v>
      </x:c>
      <x:c r="B167" s="13" t="n">
        <x:v>45722</x:v>
      </x:c>
      <x:c r="C167" s="4" t="inlineStr">
        <x:is>
          <x:t xml:space="preserve">2025-03</x:t>
        </x:is>
      </x:c>
      <x:c r="D167" s="4" t="inlineStr">
        <x:is>
          <x:t xml:space="preserve">Receita</x:t>
        </x:is>
      </x:c>
      <x:c r="E167" s="4" t="inlineStr">
        <x:is>
          <x:t xml:space="preserve">Vendas</x:t>
        </x:is>
      </x:c>
      <x:c r="F167" s="4" t="inlineStr">
        <x:is>
          <x:t xml:space="preserve">Assinatura Mensal</x:t>
        </x:is>
      </x:c>
      <x:c r="G167" s="4" t="inlineStr">
        <x:is>
          <x:t xml:space="preserve">Comercial</x:t>
        </x:is>
      </x:c>
      <x:c r="H167" s="4" t="inlineStr">
        <x:is>
          <x:t xml:space="preserve">Assinatura Mensal - Cliente Beta</x:t>
        </x:is>
      </x:c>
      <x:c r="I167" s="4" t="inlineStr">
        <x:is>
          <x:t xml:space="preserve">Cliente Beta</x:t>
        </x:is>
      </x:c>
      <x:c r="J167" s="4" t="inlineStr">
        <x:is>
          <x:t xml:space="preserve">Boleto</x:t>
        </x:is>
      </x:c>
      <x:c r="K167" s="4" t="inlineStr">
        <x:is>
          <x:t xml:space="preserve">Banco Principal</x:t>
        </x:is>
      </x:c>
      <x:c r="L167" s="4" t="inlineStr">
        <x:is>
          <x:t xml:space="preserve">Pago</x:t>
        </x:is>
      </x:c>
      <x:c r="M167" s="13" t="n">
        <x:v>45731</x:v>
      </x:c>
      <x:c r="N167" s="13" t="n">
        <x:v>45731</x:v>
      </x:c>
      <x:c r="O167" s="14" t="n">
        <x:v>33354.01</x:v>
      </x:c>
      <x:c r="P167" s="14" t="n">
        <x:v>667.08</x:v>
      </x:c>
      <x:c r="Q167" s="14" t="n">
        <x:v>0</x:v>
      </x:c>
      <x:c r="R167" s="14">
        <x:f>IF(D167="Receita",O167-P167+Q167,-(O167-P167+Q167))</x:f>
        <x:v>32686.93</x:v>
      </x:c>
      <x:c r="S167" s="4" t="inlineStr">
        <x:is>
          <x:t xml:space="preserve">Projeto Aurora</x:t>
        </x:is>
      </x:c>
      <x:c r="T167" s="4" t="inlineStr">
        <x:is>
          <x:t xml:space="preserve">Ajuste financeiro</x:t>
        </x:is>
      </x:c>
    </x:row>
    <x:row r="168">
      <x:c r="A168" s="4" t="n">
        <x:v>167</x:v>
      </x:c>
      <x:c r="B168" s="13" t="n">
        <x:v>45789</x:v>
      </x:c>
      <x:c r="C168" s="4" t="inlineStr">
        <x:is>
          <x:t xml:space="preserve">2025-05</x:t>
        </x:is>
      </x:c>
      <x:c r="D168" s="4" t="inlineStr">
        <x:is>
          <x:t xml:space="preserve">Despesa</x:t>
        </x:is>
      </x:c>
      <x:c r="E168" s="4" t="inlineStr">
        <x:is>
          <x:t xml:space="preserve">Folha</x:t>
        </x:is>
      </x:c>
      <x:c r="F168" s="4" t="inlineStr">
        <x:is>
          <x:t xml:space="preserve">Encargos</x:t>
        </x:is>
      </x:c>
      <x:c r="G168" s="4" t="inlineStr">
        <x:is>
          <x:t xml:space="preserve">Diretoria</x:t>
        </x:is>
      </x:c>
      <x:c r="H168" s="4" t="inlineStr">
        <x:is>
          <x:t xml:space="preserve">Encargos - OfficePlus</x:t>
        </x:is>
      </x:c>
      <x:c r="I168" s="4" t="inlineStr">
        <x:is>
          <x:t xml:space="preserve">OfficePlus</x:t>
        </x:is>
      </x:c>
      <x:c r="J168" s="4" t="inlineStr">
        <x:is>
          <x:t xml:space="preserve">Cartão</x:t>
        </x:is>
      </x:c>
      <x:c r="K168" s="4" t="inlineStr">
        <x:is>
          <x:t xml:space="preserve">Cartão Corporativo</x:t>
        </x:is>
      </x:c>
      <x:c r="L168" s="4" t="inlineStr">
        <x:is>
          <x:t xml:space="preserve">Pago</x:t>
        </x:is>
      </x:c>
      <x:c r="M168" s="13" t="n">
        <x:v>45805</x:v>
      </x:c>
      <x:c r="N168" s="13" t="n">
        <x:v>45805</x:v>
      </x:c>
      <x:c r="O168" s="14" t="n">
        <x:v>16780.11</x:v>
      </x:c>
      <x:c r="P168" s="14" t="n">
        <x:v>20</x:v>
      </x:c>
      <x:c r="Q168" s="14" t="n">
        <x:v>0</x:v>
      </x:c>
      <x:c r="R168" s="14">
        <x:f>IF(D168="Receita",O168-P168+Q168,-(O168-P168+Q168))</x:f>
        <x:v>-16760.11</x:v>
      </x:c>
      <x:c r="S168" s="4" t="inlineStr">
        <x:is>
          <x:t xml:space="preserve">Expansão</x:t>
        </x:is>
      </x:c>
      <x:c r="T168" s="4" t="inlineStr">
        <x:is>
          <x:t xml:space="preserve">Pagamento parcial</x:t>
        </x:is>
      </x:c>
    </x:row>
    <x:row r="169">
      <x:c r="A169" s="4" t="n">
        <x:v>168</x:v>
      </x:c>
      <x:c r="B169" s="13" t="n">
        <x:v>45728</x:v>
      </x:c>
      <x:c r="C169" s="4" t="inlineStr">
        <x:is>
          <x:t xml:space="preserve">2025-03</x:t>
        </x:is>
      </x:c>
      <x:c r="D169" s="4" t="inlineStr">
        <x:is>
          <x:t xml:space="preserve">Receita</x:t>
        </x:is>
      </x:c>
      <x:c r="E169" s="4" t="inlineStr">
        <x:is>
          <x:t xml:space="preserve">Vendas</x:t>
        </x:is>
      </x:c>
      <x:c r="F169" s="4" t="inlineStr">
        <x:is>
          <x:t xml:space="preserve">Serviço de Implantação</x:t>
        </x:is>
      </x:c>
      <x:c r="G169" s="4" t="inlineStr">
        <x:is>
          <x:t xml:space="preserve">Comercial</x:t>
        </x:is>
      </x:c>
      <x:c r="H169" s="4" t="inlineStr">
        <x:is>
          <x:t xml:space="preserve">Serviço de Implantação - Cliente Delta</x:t>
        </x:is>
      </x:c>
      <x:c r="I169" s="4" t="inlineStr">
        <x:is>
          <x:t xml:space="preserve">Cliente Delta</x:t>
        </x:is>
      </x:c>
      <x:c r="J169" s="4" t="inlineStr">
        <x:is>
          <x:t xml:space="preserve">Cartão</x:t>
        </x:is>
      </x:c>
      <x:c r="K169" s="4" t="inlineStr">
        <x:is>
          <x:t xml:space="preserve">Cartão Corporativo</x:t>
        </x:is>
      </x:c>
      <x:c r="L169" s="4" t="inlineStr">
        <x:is>
          <x:t xml:space="preserve">Pago</x:t>
        </x:is>
      </x:c>
      <x:c r="M169" s="13" t="n">
        <x:v>45740</x:v>
      </x:c>
      <x:c r="N169" s="13" t="n">
        <x:v>45740</x:v>
      </x:c>
      <x:c r="O169" s="14" t="n">
        <x:v>21933.41</x:v>
      </x:c>
      <x:c r="P169" s="14" t="n">
        <x:v>0</x:v>
      </x:c>
      <x:c r="Q169" s="14" t="n">
        <x:v>45</x:v>
      </x:c>
      <x:c r="R169" s="14">
        <x:f>IF(D169="Receita",O169-P169+Q169,-(O169-P169+Q169))</x:f>
        <x:v>21978.41</x:v>
      </x:c>
      <x:c r="S169" s="4" t="inlineStr">
        <x:is>
          <x:t xml:space="preserve">Expansão</x:t>
        </x:is>
      </x:c>
      <x:c r="T169" s="4" t="inlineStr">
        <x:is>
          <x:t xml:space="preserve">Pagamento parcial</x:t>
        </x:is>
      </x:c>
    </x:row>
    <x:row r="170">
      <x:c r="A170" s="4" t="n">
        <x:v>169</x:v>
      </x:c>
      <x:c r="B170" s="13" t="n">
        <x:v>45814</x:v>
      </x:c>
      <x:c r="C170" s="4" t="inlineStr">
        <x:is>
          <x:t xml:space="preserve">2025-06</x:t>
        </x:is>
      </x:c>
      <x:c r="D170" s="4" t="inlineStr">
        <x:is>
          <x:t xml:space="preserve">Despesa</x:t>
        </x:is>
      </x:c>
      <x:c r="E170" s="4" t="inlineStr">
        <x:is>
          <x:t xml:space="preserve">Tecnologia</x:t>
        </x:is>
      </x:c>
      <x:c r="F170" s="4" t="inlineStr">
        <x:is>
          <x:t xml:space="preserve">Cloud</x:t>
        </x:is>
      </x:c>
      <x:c r="G170" s="4" t="inlineStr">
        <x:is>
          <x:t xml:space="preserve">Backoffice</x:t>
        </x:is>
      </x:c>
      <x:c r="H170" s="4" t="inlineStr">
        <x:is>
          <x:t xml:space="preserve">Cloud - CloudFast</x:t>
        </x:is>
      </x:c>
      <x:c r="I170" s="4" t="inlineStr">
        <x:is>
          <x:t xml:space="preserve">CloudFast</x:t>
        </x:is>
      </x:c>
      <x:c r="J170" s="4" t="inlineStr">
        <x:is>
          <x:t xml:space="preserve">Boleto</x:t>
        </x:is>
      </x:c>
      <x:c r="K170" s="4" t="inlineStr">
        <x:is>
          <x:t xml:space="preserve">Conta Investimento</x:t>
        </x:is>
      </x:c>
      <x:c r="L170" s="4" t="inlineStr">
        <x:is>
          <x:t xml:space="preserve">Atrasado</x:t>
        </x:is>
      </x:c>
      <x:c r="M170" s="13" t="n">
        <x:v>45826</x:v>
      </x:c>
      <x:c r="N170" s="13" t="n">
        <x:v>45838</x:v>
      </x:c>
      <x:c r="O170" s="14" t="n">
        <x:v>4050.72</x:v>
      </x:c>
      <x:c r="P170" s="14" t="n">
        <x:v>50</x:v>
      </x:c>
      <x:c r="Q170" s="14" t="n">
        <x:v>10</x:v>
      </x:c>
      <x:c r="R170" s="14">
        <x:f>IF(D170="Receita",O170-P170+Q170,-(O170-P170+Q170))</x:f>
        <x:v>-4010.72</x:v>
      </x:c>
      <x:c r="S170" s="4" t="inlineStr">
        <x:is>
          <x:t xml:space="preserve">Projeto Sigma</x:t>
        </x:is>
      </x:c>
      <x:c r="T170" s="4" t="inlineStr">
        <x:is>
          <x:t xml:space="preserve">Ajuste financeiro</x:t>
        </x:is>
      </x:c>
    </x:row>
    <x:row r="171">
      <x:c r="A171" s="4" t="n">
        <x:v>170</x:v>
      </x:c>
      <x:c r="B171" s="13" t="n">
        <x:v>45741</x:v>
      </x:c>
      <x:c r="C171" s="4" t="inlineStr">
        <x:is>
          <x:t xml:space="preserve">2025-03</x:t>
        </x:is>
      </x:c>
      <x:c r="D171" s="4" t="inlineStr">
        <x:is>
          <x:t xml:space="preserve">Despesa</x:t>
        </x:is>
      </x:c>
      <x:c r="E171" s="4" t="inlineStr">
        <x:is>
          <x:t xml:space="preserve">Tecnologia</x:t>
        </x:is>
      </x:c>
      <x:c r="F171" s="4" t="inlineStr">
        <x:is>
          <x:t xml:space="preserve">Cloud</x:t>
        </x:is>
      </x:c>
      <x:c r="G171" s="4" t="inlineStr">
        <x:is>
          <x:t xml:space="preserve">Comercial</x:t>
        </x:is>
      </x:c>
      <x:c r="H171" s="4" t="inlineStr">
        <x:is>
          <x:t xml:space="preserve">Cloud - ContaFácil</x:t>
        </x:is>
      </x:c>
      <x:c r="I171" s="4" t="inlineStr">
        <x:is>
          <x:t xml:space="preserve">ContaFácil</x:t>
        </x:is>
      </x:c>
      <x:c r="J171" s="4" t="inlineStr">
        <x:is>
          <x:t xml:space="preserve">TED</x:t>
        </x:is>
      </x:c>
      <x:c r="K171" s="4" t="inlineStr">
        <x:is>
          <x:t xml:space="preserve">Banco Principal</x:t>
        </x:is>
      </x:c>
      <x:c r="L171" s="4" t="inlineStr">
        <x:is>
          <x:t xml:space="preserve">Atrasado</x:t>
        </x:is>
      </x:c>
      <x:c r="M171" s="13" t="n">
        <x:v>45743</x:v>
      </x:c>
      <x:c r="N171" s="13" t="n"/>
      <x:c r="O171" s="14" t="n">
        <x:v>13916.54</x:v>
      </x:c>
      <x:c r="P171" s="14" t="n">
        <x:v>0</x:v>
      </x:c>
      <x:c r="Q171" s="14" t="n">
        <x:v>10</x:v>
      </x:c>
      <x:c r="R171" s="14">
        <x:f>IF(D171="Receita",O171-P171+Q171,-(O171-P171+Q171))</x:f>
        <x:v>-13926.54</x:v>
      </x:c>
      <x:c r="S171" s="4" t="inlineStr">
        <x:is>
          <x:t xml:space="preserve">Expansão</x:t>
        </x:is>
      </x:c>
      <x:c r="T171" s="4" t="inlineStr">
        <x:is>
          <x:t xml:space="preserve">Contrato recorrente</x:t>
        </x:is>
      </x:c>
    </x:row>
    <x:row r="172">
      <x:c r="A172" s="4" t="n">
        <x:v>171</x:v>
      </x:c>
      <x:c r="B172" s="13" t="n">
        <x:v>45770</x:v>
      </x:c>
      <x:c r="C172" s="4" t="inlineStr">
        <x:is>
          <x:t xml:space="preserve">2025-04</x:t>
        </x:is>
      </x:c>
      <x:c r="D172" s="4" t="inlineStr">
        <x:is>
          <x:t xml:space="preserve">Despesa</x:t>
        </x:is>
      </x:c>
      <x:c r="E172" s="4" t="inlineStr">
        <x:is>
          <x:t xml:space="preserve">Folha</x:t>
        </x:is>
      </x:c>
      <x:c r="F172" s="4" t="inlineStr">
        <x:is>
          <x:t xml:space="preserve">Benefícios</x:t>
        </x:is>
      </x:c>
      <x:c r="G172" s="4" t="inlineStr">
        <x:is>
          <x:t xml:space="preserve">Operações</x:t>
        </x:is>
      </x:c>
      <x:c r="H172" s="4" t="inlineStr">
        <x:is>
          <x:t xml:space="preserve">Benefícios - CloudFast</x:t>
        </x:is>
      </x:c>
      <x:c r="I172" s="4" t="inlineStr">
        <x:is>
          <x:t xml:space="preserve">CloudFast</x:t>
        </x:is>
      </x:c>
      <x:c r="J172" s="4" t="inlineStr">
        <x:is>
          <x:t xml:space="preserve">Cartão</x:t>
        </x:is>
      </x:c>
      <x:c r="K172" s="4" t="inlineStr">
        <x:is>
          <x:t xml:space="preserve">Banco Principal</x:t>
        </x:is>
      </x:c>
      <x:c r="L172" s="4" t="inlineStr">
        <x:is>
          <x:t xml:space="preserve">Pago</x:t>
        </x:is>
      </x:c>
      <x:c r="M172" s="13" t="n">
        <x:v>45774</x:v>
      </x:c>
      <x:c r="N172" s="13" t="n">
        <x:v>45774</x:v>
      </x:c>
      <x:c r="O172" s="14" t="n">
        <x:v>7548.19</x:v>
      </x:c>
      <x:c r="P172" s="14" t="n">
        <x:v>100</x:v>
      </x:c>
      <x:c r="Q172" s="14" t="n">
        <x:v>0</x:v>
      </x:c>
      <x:c r="R172" s="14">
        <x:f>IF(D172="Receita",O172-P172+Q172,-(O172-P172+Q172))</x:f>
        <x:v>-7448.19</x:v>
      </x:c>
      <x:c r="S172" s="4" t="inlineStr">
        <x:is>
          <x:t xml:space="preserve">Rotina</x:t>
        </x:is>
      </x:c>
      <x:c r="T172" s="4" t="inlineStr">
        <x:is>
          <x:t xml:space="preserve">Pagamento parcial</x:t>
        </x:is>
      </x:c>
    </x:row>
    <x:row r="173">
      <x:c r="A173" s="4" t="n">
        <x:v>172</x:v>
      </x:c>
      <x:c r="B173" s="13" t="n">
        <x:v>45819</x:v>
      </x:c>
      <x:c r="C173" s="4" t="inlineStr">
        <x:is>
          <x:t xml:space="preserve">2025-06</x:t>
        </x:is>
      </x:c>
      <x:c r="D173" s="4" t="inlineStr">
        <x:is>
          <x:t xml:space="preserve">Despesa</x:t>
        </x:is>
      </x:c>
      <x:c r="E173" s="4" t="inlineStr">
        <x:is>
          <x:t xml:space="preserve">Marketing</x:t>
        </x:is>
      </x:c>
      <x:c r="F173" s="4" t="inlineStr">
        <x:is>
          <x:t xml:space="preserve">Eventos</x:t>
        </x:is>
      </x:c>
      <x:c r="G173" s="4" t="inlineStr">
        <x:is>
          <x:t xml:space="preserve">Comercial</x:t>
        </x:is>
      </x:c>
      <x:c r="H173" s="4" t="inlineStr">
        <x:is>
          <x:t xml:space="preserve">Eventos - Fornecedor Nexus</x:t>
        </x:is>
      </x:c>
      <x:c r="I173" s="4" t="inlineStr">
        <x:is>
          <x:t xml:space="preserve">Fornecedor Nexus</x:t>
        </x:is>
      </x:c>
      <x:c r="J173" s="4" t="inlineStr">
        <x:is>
          <x:t xml:space="preserve">TED</x:t>
        </x:is>
      </x:c>
      <x:c r="K173" s="4" t="inlineStr">
        <x:is>
          <x:t xml:space="preserve">Conta Investimento</x:t>
        </x:is>
      </x:c>
      <x:c r="L173" s="4" t="inlineStr">
        <x:is>
          <x:t xml:space="preserve">Pendente</x:t>
        </x:is>
      </x:c>
      <x:c r="M173" s="13" t="n">
        <x:v>45822</x:v>
      </x:c>
      <x:c r="N173" s="13" t="n"/>
      <x:c r="O173" s="14" t="n">
        <x:v>7434.69</x:v>
      </x:c>
      <x:c r="P173" s="14" t="n">
        <x:v>50</x:v>
      </x:c>
      <x:c r="Q173" s="14" t="n">
        <x:v>10</x:v>
      </x:c>
      <x:c r="R173" s="14">
        <x:f>IF(D173="Receita",O173-P173+Q173,-(O173-P173+Q173))</x:f>
        <x:v>-7394.69</x:v>
      </x:c>
      <x:c r="S173" s="4" t="inlineStr">
        <x:is>
          <x:t xml:space="preserve">Rotina</x:t>
        </x:is>
      </x:c>
      <x:c r="T173" s="4" t="inlineStr">
        <x:is>
          <x:t xml:space="preserve">Pagamento parcial</x:t>
        </x:is>
      </x:c>
    </x:row>
    <x:row r="174">
      <x:c r="A174" s="4" t="n">
        <x:v>173</x:v>
      </x:c>
      <x:c r="B174" s="13" t="n">
        <x:v>45817</x:v>
      </x:c>
      <x:c r="C174" s="4" t="inlineStr">
        <x:is>
          <x:t xml:space="preserve">2025-06</x:t>
        </x:is>
      </x:c>
      <x:c r="D174" s="4" t="inlineStr">
        <x:is>
          <x:t xml:space="preserve">Despesa</x:t>
        </x:is>
      </x:c>
      <x:c r="E174" s="4" t="inlineStr">
        <x:is>
          <x:t xml:space="preserve">Operacional</x:t>
        </x:is>
      </x:c>
      <x:c r="F174" s="4" t="inlineStr">
        <x:is>
          <x:t xml:space="preserve">Manutenção</x:t>
        </x:is>
      </x:c>
      <x:c r="G174" s="4" t="inlineStr">
        <x:is>
          <x:t xml:space="preserve">TI</x:t>
        </x:is>
      </x:c>
      <x:c r="H174" s="4" t="inlineStr">
        <x:is>
          <x:t xml:space="preserve">Manutenção - EnergiaSul</x:t>
        </x:is>
      </x:c>
      <x:c r="I174" s="4" t="inlineStr">
        <x:is>
          <x:t xml:space="preserve">EnergiaSul</x:t>
        </x:is>
      </x:c>
      <x:c r="J174" s="4" t="inlineStr">
        <x:is>
          <x:t xml:space="preserve">TED</x:t>
        </x:is>
      </x:c>
      <x:c r="K174" s="4" t="inlineStr">
        <x:is>
          <x:t xml:space="preserve">Caixa</x:t>
        </x:is>
      </x:c>
      <x:c r="L174" s="4" t="inlineStr">
        <x:is>
          <x:t xml:space="preserve">Pendente</x:t>
        </x:is>
      </x:c>
      <x:c r="M174" s="13" t="n">
        <x:v>45828</x:v>
      </x:c>
      <x:c r="N174" s="13" t="n"/>
      <x:c r="O174" s="14" t="n">
        <x:v>5242.09</x:v>
      </x:c>
      <x:c r="P174" s="14" t="n">
        <x:v>0</x:v>
      </x:c>
      <x:c r="Q174" s="14" t="n">
        <x:v>0</x:v>
      </x:c>
      <x:c r="R174" s="14">
        <x:f>IF(D174="Receita",O174-P174+Q174,-(O174-P174+Q174))</x:f>
        <x:v>-5242.09</x:v>
      </x:c>
      <x:c r="S174" s="4" t="inlineStr">
        <x:is>
          <x:t xml:space="preserve">Projeto Aurora</x:t>
        </x:is>
      </x:c>
      <x:c r="T174" s="4" t="inlineStr">
        <x:is>
          <x:t xml:space="preserve">Sem observações</x:t>
        </x:is>
      </x:c>
    </x:row>
    <x:row r="175">
      <x:c r="A175" s="4" t="n">
        <x:v>174</x:v>
      </x:c>
      <x:c r="B175" s="13" t="n">
        <x:v>45785</x:v>
      </x:c>
      <x:c r="C175" s="4" t="inlineStr">
        <x:is>
          <x:t xml:space="preserve">2025-05</x:t>
        </x:is>
      </x:c>
      <x:c r="D175" s="4" t="inlineStr">
        <x:is>
          <x:t xml:space="preserve">Despesa</x:t>
        </x:is>
      </x:c>
      <x:c r="E175" s="4" t="inlineStr">
        <x:is>
          <x:t xml:space="preserve">Tecnologia</x:t>
        </x:is>
      </x:c>
      <x:c r="F175" s="4" t="inlineStr">
        <x:is>
          <x:t xml:space="preserve">Cloud</x:t>
        </x:is>
      </x:c>
      <x:c r="G175" s="4" t="inlineStr">
        <x:is>
          <x:t xml:space="preserve">Backoffice</x:t>
        </x:is>
      </x:c>
      <x:c r="H175" s="4" t="inlineStr">
        <x:is>
          <x:t xml:space="preserve">Cloud - OfficePlus</x:t>
        </x:is>
      </x:c>
      <x:c r="I175" s="4" t="inlineStr">
        <x:is>
          <x:t xml:space="preserve">OfficePlus</x:t>
        </x:is>
      </x:c>
      <x:c r="J175" s="4" t="inlineStr">
        <x:is>
          <x:t xml:space="preserve">Cartão</x:t>
        </x:is>
      </x:c>
      <x:c r="K175" s="4" t="inlineStr">
        <x:is>
          <x:t xml:space="preserve">Conta Investimento</x:t>
        </x:is>
      </x:c>
      <x:c r="L175" s="4" t="inlineStr">
        <x:is>
          <x:t xml:space="preserve">Atrasado</x:t>
        </x:is>
      </x:c>
      <x:c r="M175" s="13" t="n">
        <x:v>45797</x:v>
      </x:c>
      <x:c r="N175" s="13" t="n">
        <x:v>45808</x:v>
      </x:c>
      <x:c r="O175" s="14" t="n">
        <x:v>14468.91</x:v>
      </x:c>
      <x:c r="P175" s="14" t="n">
        <x:v>20</x:v>
      </x:c>
      <x:c r="Q175" s="14" t="n">
        <x:v>10</x:v>
      </x:c>
      <x:c r="R175" s="14">
        <x:f>IF(D175="Receita",O175-P175+Q175,-(O175-P175+Q175))</x:f>
        <x:v>-14458.91</x:v>
      </x:c>
      <x:c r="S175" s="4" t="inlineStr">
        <x:is>
          <x:t xml:space="preserve">Projeto Sigma</x:t>
        </x:is>
      </x:c>
      <x:c r="T175" s="4" t="inlineStr">
        <x:is>
          <x:t xml:space="preserve">Renovação anual</x:t>
        </x:is>
      </x:c>
    </x:row>
    <x:row r="176">
      <x:c r="A176" s="4" t="n">
        <x:v>175</x:v>
      </x:c>
      <x:c r="B176" s="13" t="n">
        <x:v>45767</x:v>
      </x:c>
      <x:c r="C176" s="4" t="inlineStr">
        <x:is>
          <x:t xml:space="preserve">2025-04</x:t>
        </x:is>
      </x:c>
      <x:c r="D176" s="4" t="inlineStr">
        <x:is>
          <x:t xml:space="preserve">Despesa</x:t>
        </x:is>
      </x:c>
      <x:c r="E176" s="4" t="inlineStr">
        <x:is>
          <x:t xml:space="preserve">Folha</x:t>
        </x:is>
      </x:c>
      <x:c r="F176" s="4" t="inlineStr">
        <x:is>
          <x:t xml:space="preserve">Salários</x:t>
        </x:is>
      </x:c>
      <x:c r="G176" s="4" t="inlineStr">
        <x:is>
          <x:t xml:space="preserve">Backoffice</x:t>
        </x:is>
      </x:c>
      <x:c r="H176" s="4" t="inlineStr">
        <x:is>
          <x:t xml:space="preserve">Salários - Fornecedor Nexus</x:t>
        </x:is>
      </x:c>
      <x:c r="I176" s="4" t="inlineStr">
        <x:is>
          <x:t xml:space="preserve">Fornecedor Nexus</x:t>
        </x:is>
      </x:c>
      <x:c r="J176" s="4" t="inlineStr">
        <x:is>
          <x:t xml:space="preserve">TED</x:t>
        </x:is>
      </x:c>
      <x:c r="K176" s="4" t="inlineStr">
        <x:is>
          <x:t xml:space="preserve">Cartão Corporativo</x:t>
        </x:is>
      </x:c>
      <x:c r="L176" s="4" t="inlineStr">
        <x:is>
          <x:t xml:space="preserve">Pago</x:t>
        </x:is>
      </x:c>
      <x:c r="M176" s="13" t="n">
        <x:v>45784</x:v>
      </x:c>
      <x:c r="N176" s="13" t="n">
        <x:v>45784</x:v>
      </x:c>
      <x:c r="O176" s="14" t="n">
        <x:v>10203.63</x:v>
      </x:c>
      <x:c r="P176" s="14" t="n">
        <x:v>20</x:v>
      </x:c>
      <x:c r="Q176" s="14" t="n">
        <x:v>0</x:v>
      </x:c>
      <x:c r="R176" s="14">
        <x:f>IF(D176="Receita",O176-P176+Q176,-(O176-P176+Q176))</x:f>
        <x:v>-10183.63</x:v>
      </x:c>
      <x:c r="S176" s="4" t="inlineStr">
        <x:is>
          <x:t xml:space="preserve">Rotina</x:t>
        </x:is>
      </x:c>
      <x:c r="T176" s="4" t="inlineStr">
        <x:is>
          <x:t xml:space="preserve">Contrato recorrente</x:t>
        </x:is>
      </x:c>
    </x:row>
    <x:row r="177">
      <x:c r="A177" s="4" t="n">
        <x:v>176</x:v>
      </x:c>
      <x:c r="B177" s="13" t="n">
        <x:v>45749</x:v>
      </x:c>
      <x:c r="C177" s="4" t="inlineStr">
        <x:is>
          <x:t xml:space="preserve">2025-04</x:t>
        </x:is>
      </x:c>
      <x:c r="D177" s="4" t="inlineStr">
        <x:is>
          <x:t xml:space="preserve">Receita</x:t>
        </x:is>
      </x:c>
      <x:c r="E177" s="4" t="inlineStr">
        <x:is>
          <x:t xml:space="preserve">Outras Receitas</x:t>
        </x:is>
      </x:c>
      <x:c r="F177" s="4" t="inlineStr">
        <x:is>
          <x:t xml:space="preserve">Venda de Ativo</x:t>
        </x:is>
      </x:c>
      <x:c r="G177" s="4" t="inlineStr">
        <x:is>
          <x:t xml:space="preserve">Comercial</x:t>
        </x:is>
      </x:c>
      <x:c r="H177" s="4" t="inlineStr">
        <x:is>
          <x:t xml:space="preserve">Venda de Ativo - Cliente Delta</x:t>
        </x:is>
      </x:c>
      <x:c r="I177" s="4" t="inlineStr">
        <x:is>
          <x:t xml:space="preserve">Cliente Delta</x:t>
        </x:is>
      </x:c>
      <x:c r="J177" s="4" t="inlineStr">
        <x:is>
          <x:t xml:space="preserve">TED</x:t>
        </x:is>
      </x:c>
      <x:c r="K177" s="4" t="inlineStr">
        <x:is>
          <x:t xml:space="preserve">Caixa</x:t>
        </x:is>
      </x:c>
      <x:c r="L177" s="4" t="inlineStr">
        <x:is>
          <x:t xml:space="preserve">Pago</x:t>
        </x:is>
      </x:c>
      <x:c r="M177" s="13" t="n">
        <x:v>45756</x:v>
      </x:c>
      <x:c r="N177" s="13" t="n">
        <x:v>45756</x:v>
      </x:c>
      <x:c r="O177" s="14" t="n">
        <x:v>33254.65</x:v>
      </x:c>
      <x:c r="P177" s="14" t="n">
        <x:v>0</x:v>
      </x:c>
      <x:c r="Q177" s="14" t="n">
        <x:v>30</x:v>
      </x:c>
      <x:c r="R177" s="14">
        <x:f>IF(D177="Receita",O177-P177+Q177,-(O177-P177+Q177))</x:f>
        <x:v>33284.65</x:v>
      </x:c>
      <x:c r="S177" s="4" t="inlineStr">
        <x:is>
          <x:t xml:space="preserve">Expansão</x:t>
        </x:is>
      </x:c>
      <x:c r="T177" s="4" t="inlineStr">
        <x:is>
          <x:t xml:space="preserve">Contrato recorrente</x:t>
        </x:is>
      </x:c>
    </x:row>
    <x:row r="178">
      <x:c r="A178" s="4" t="n">
        <x:v>177</x:v>
      </x:c>
      <x:c r="B178" s="13" t="n">
        <x:v>45824</x:v>
      </x:c>
      <x:c r="C178" s="4" t="inlineStr">
        <x:is>
          <x:t xml:space="preserve">2025-06</x:t>
        </x:is>
      </x:c>
      <x:c r="D178" s="4" t="inlineStr">
        <x:is>
          <x:t xml:space="preserve">Despesa</x:t>
        </x:is>
      </x:c>
      <x:c r="E178" s="4" t="inlineStr">
        <x:is>
          <x:t xml:space="preserve">Administrativo</x:t>
        </x:is>
      </x:c>
      <x:c r="F178" s="4" t="inlineStr">
        <x:is>
          <x:t xml:space="preserve">Jurídico</x:t>
        </x:is>
      </x:c>
      <x:c r="G178" s="4" t="inlineStr">
        <x:is>
          <x:t xml:space="preserve">TI</x:t>
        </x:is>
      </x:c>
      <x:c r="H178" s="4" t="inlineStr">
        <x:is>
          <x:t xml:space="preserve">Jurídico - CloudFast</x:t>
        </x:is>
      </x:c>
      <x:c r="I178" s="4" t="inlineStr">
        <x:is>
          <x:t xml:space="preserve">CloudFast</x:t>
        </x:is>
      </x:c>
      <x:c r="J178" s="4" t="inlineStr">
        <x:is>
          <x:t xml:space="preserve">PIX</x:t>
        </x:is>
      </x:c>
      <x:c r="K178" s="4" t="inlineStr">
        <x:is>
          <x:t xml:space="preserve">Conta Investimento</x:t>
        </x:is>
      </x:c>
      <x:c r="L178" s="4" t="inlineStr">
        <x:is>
          <x:t xml:space="preserve">Atrasado</x:t>
        </x:is>
      </x:c>
      <x:c r="M178" s="13" t="n">
        <x:v>45843</x:v>
      </x:c>
      <x:c r="N178" s="13" t="n">
        <x:v>45860</x:v>
      </x:c>
      <x:c r="O178" s="14" t="n">
        <x:v>8801.9</x:v>
      </x:c>
      <x:c r="P178" s="14" t="n">
        <x:v>20</x:v>
      </x:c>
      <x:c r="Q178" s="14" t="n">
        <x:v>40</x:v>
      </x:c>
      <x:c r="R178" s="14">
        <x:f>IF(D178="Receita",O178-P178+Q178,-(O178-P178+Q178))</x:f>
        <x:v>-8821.9</x:v>
      </x:c>
      <x:c r="S178" s="4" t="inlineStr">
        <x:is>
          <x:t xml:space="preserve">Projeto Sigma</x:t>
        </x:is>
      </x:c>
      <x:c r="T178" s="4" t="inlineStr">
        <x:is>
          <x:t xml:space="preserve">Pagamento parcial</x:t>
        </x:is>
      </x:c>
    </x:row>
    <x:row r="179">
      <x:c r="A179" s="4" t="n">
        <x:v>178</x:v>
      </x:c>
      <x:c r="B179" s="13" t="n">
        <x:v>45751</x:v>
      </x:c>
      <x:c r="C179" s="4" t="inlineStr">
        <x:is>
          <x:t xml:space="preserve">2025-04</x:t>
        </x:is>
      </x:c>
      <x:c r="D179" s="4" t="inlineStr">
        <x:is>
          <x:t xml:space="preserve">Despesa</x:t>
        </x:is>
      </x:c>
      <x:c r="E179" s="4" t="inlineStr">
        <x:is>
          <x:t xml:space="preserve">Tecnologia</x:t>
        </x:is>
      </x:c>
      <x:c r="F179" s="4" t="inlineStr">
        <x:is>
          <x:t xml:space="preserve">Equipamentos</x:t>
        </x:is>
      </x:c>
      <x:c r="G179" s="4" t="inlineStr">
        <x:is>
          <x:t xml:space="preserve">Comercial</x:t>
        </x:is>
      </x:c>
      <x:c r="H179" s="4" t="inlineStr">
        <x:is>
          <x:t xml:space="preserve">Equipamentos - CloudFast</x:t>
        </x:is>
      </x:c>
      <x:c r="I179" s="4" t="inlineStr">
        <x:is>
          <x:t xml:space="preserve">CloudFast</x:t>
        </x:is>
      </x:c>
      <x:c r="J179" s="4" t="inlineStr">
        <x:is>
          <x:t xml:space="preserve">TED</x:t>
        </x:is>
      </x:c>
      <x:c r="K179" s="4" t="inlineStr">
        <x:is>
          <x:t xml:space="preserve">Conta Investimento</x:t>
        </x:is>
      </x:c>
      <x:c r="L179" s="4" t="inlineStr">
        <x:is>
          <x:t xml:space="preserve">Atrasado</x:t>
        </x:is>
      </x:c>
      <x:c r="M179" s="13" t="n">
        <x:v>45761</x:v>
      </x:c>
      <x:c r="N179" s="13" t="n"/>
      <x:c r="O179" s="14" t="n">
        <x:v>11834.19</x:v>
      </x:c>
      <x:c r="P179" s="14" t="n">
        <x:v>0</x:v>
      </x:c>
      <x:c r="Q179" s="14" t="n">
        <x:v>25</x:v>
      </x:c>
      <x:c r="R179" s="14">
        <x:f>IF(D179="Receita",O179-P179+Q179,-(O179-P179+Q179))</x:f>
        <x:v>-11859.19</x:v>
      </x:c>
      <x:c r="S179" s="4" t="inlineStr">
        <x:is>
          <x:t xml:space="preserve">Expansão</x:t>
        </x:is>
      </x:c>
      <x:c r="T179" s="4" t="inlineStr">
        <x:is>
          <x:t xml:space="preserve">Pagamento parcial</x:t>
        </x:is>
      </x:c>
    </x:row>
    <x:row r="180">
      <x:c r="A180" s="4" t="n">
        <x:v>179</x:v>
      </x:c>
      <x:c r="B180" s="13" t="n">
        <x:v>45788</x:v>
      </x:c>
      <x:c r="C180" s="4" t="inlineStr">
        <x:is>
          <x:t xml:space="preserve">2025-05</x:t>
        </x:is>
      </x:c>
      <x:c r="D180" s="4" t="inlineStr">
        <x:is>
          <x:t xml:space="preserve">Receita</x:t>
        </x:is>
      </x:c>
      <x:c r="E180" s="4" t="inlineStr">
        <x:is>
          <x:t xml:space="preserve">Vendas</x:t>
        </x:is>
      </x:c>
      <x:c r="F180" s="4" t="inlineStr">
        <x:is>
          <x:t xml:space="preserve">Assinatura Mensal</x:t>
        </x:is>
      </x:c>
      <x:c r="G180" s="4" t="inlineStr">
        <x:is>
          <x:t xml:space="preserve">Comercial</x:t>
        </x:is>
      </x:c>
      <x:c r="H180" s="4" t="inlineStr">
        <x:is>
          <x:t xml:space="preserve">Assinatura Mensal - Cliente Beta</x:t>
        </x:is>
      </x:c>
      <x:c r="I180" s="4" t="inlineStr">
        <x:is>
          <x:t xml:space="preserve">Cliente Beta</x:t>
        </x:is>
      </x:c>
      <x:c r="J180" s="4" t="inlineStr">
        <x:is>
          <x:t xml:space="preserve">TED</x:t>
        </x:is>
      </x:c>
      <x:c r="K180" s="4" t="inlineStr">
        <x:is>
          <x:t xml:space="preserve">Banco Principal</x:t>
        </x:is>
      </x:c>
      <x:c r="L180" s="4" t="inlineStr">
        <x:is>
          <x:t xml:space="preserve">Pago</x:t>
        </x:is>
      </x:c>
      <x:c r="M180" s="13" t="n">
        <x:v>45806</x:v>
      </x:c>
      <x:c r="N180" s="13" t="n">
        <x:v>45806</x:v>
      </x:c>
      <x:c r="O180" s="14" t="n">
        <x:v>3515.69</x:v>
      </x:c>
      <x:c r="P180" s="14" t="n">
        <x:v>0</x:v>
      </x:c>
      <x:c r="Q180" s="14" t="n">
        <x:v>0</x:v>
      </x:c>
      <x:c r="R180" s="14">
        <x:f>IF(D180="Receita",O180-P180+Q180,-(O180-P180+Q180))</x:f>
        <x:v>3515.69</x:v>
      </x:c>
      <x:c r="S180" s="4" t="inlineStr">
        <x:is>
          <x:t xml:space="preserve">Projeto Aurora</x:t>
        </x:is>
      </x:c>
      <x:c r="T180" s="4" t="inlineStr">
        <x:is>
          <x:t xml:space="preserve">Pagamento parcial</x:t>
        </x:is>
      </x:c>
    </x:row>
    <x:row r="181">
      <x:c r="A181" s="4" t="n">
        <x:v>180</x:v>
      </x:c>
      <x:c r="B181" s="13" t="n">
        <x:v>45834</x:v>
      </x:c>
      <x:c r="C181" s="4" t="inlineStr">
        <x:is>
          <x:t xml:space="preserve">2025-06</x:t>
        </x:is>
      </x:c>
      <x:c r="D181" s="4" t="inlineStr">
        <x:is>
          <x:t xml:space="preserve">Despesa</x:t>
        </x:is>
      </x:c>
      <x:c r="E181" s="4" t="inlineStr">
        <x:is>
          <x:t xml:space="preserve">Tecnologia</x:t>
        </x:is>
      </x:c>
      <x:c r="F181" s="4" t="inlineStr">
        <x:is>
          <x:t xml:space="preserve">Licenças</x:t>
        </x:is>
      </x:c>
      <x:c r="G181" s="4" t="inlineStr">
        <x:is>
          <x:t xml:space="preserve">Diretoria</x:t>
        </x:is>
      </x:c>
      <x:c r="H181" s="4" t="inlineStr">
        <x:is>
          <x:t xml:space="preserve">Licenças - Fornecedor Nexus</x:t>
        </x:is>
      </x:c>
      <x:c r="I181" s="4" t="inlineStr">
        <x:is>
          <x:t xml:space="preserve">Fornecedor Nexus</x:t>
        </x:is>
      </x:c>
      <x:c r="J181" s="4" t="inlineStr">
        <x:is>
          <x:t xml:space="preserve">Cartão</x:t>
        </x:is>
      </x:c>
      <x:c r="K181" s="4" t="inlineStr">
        <x:is>
          <x:t xml:space="preserve">Conta Investimento</x:t>
        </x:is>
      </x:c>
      <x:c r="L181" s="4" t="inlineStr">
        <x:is>
          <x:t xml:space="preserve">Pendente</x:t>
        </x:is>
      </x:c>
      <x:c r="M181" s="13" t="n">
        <x:v>45839</x:v>
      </x:c>
      <x:c r="N181" s="13" t="n"/>
      <x:c r="O181" s="14" t="n">
        <x:v>356.7</x:v>
      </x:c>
      <x:c r="P181" s="14" t="n">
        <x:v>0</x:v>
      </x:c>
      <x:c r="Q181" s="14" t="n">
        <x:v>0</x:v>
      </x:c>
      <x:c r="R181" s="14">
        <x:f>IF(D181="Receita",O181-P181+Q181,-(O181-P181+Q181))</x:f>
        <x:v>-356.7</x:v>
      </x:c>
      <x:c r="S181" s="4" t="inlineStr">
        <x:is>
          <x:t xml:space="preserve">Expansão</x:t>
        </x:is>
      </x:c>
      <x:c r="T181" s="4" t="inlineStr">
        <x:is>
          <x:t xml:space="preserve">Renovação anual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ad5591b57fa44b2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</x:cols>
  <x:sheetData>
    <x:row r="1">
      <x:c r="A1" s="7" t="inlineStr">
        <x:is>
          <x:t xml:space="preserve">Resumo Financeiro Mensal</x:t>
        </x:is>
      </x:c>
    </x:row>
    <x:row r="3">
      <x:c r="A3" s="8" t="n"/>
      <x:c r="B3" s="9" t="inlineStr">
        <x:is>
          <x:t xml:space="preserve">2025-01</x:t>
        </x:is>
      </x:c>
      <x:c r="C3" s="9" t="inlineStr">
        <x:is>
          <x:t xml:space="preserve">2025-02</x:t>
        </x:is>
      </x:c>
      <x:c r="D3" s="9" t="inlineStr">
        <x:is>
          <x:t xml:space="preserve">2025-03</x:t>
        </x:is>
      </x:c>
      <x:c r="E3" s="9" t="inlineStr">
        <x:is>
          <x:t xml:space="preserve">2025-04</x:t>
        </x:is>
      </x:c>
      <x:c r="F3" s="9" t="inlineStr">
        <x:is>
          <x:t xml:space="preserve">2025-05</x:t>
        </x:is>
      </x:c>
      <x:c r="G3" s="9" t="inlineStr">
        <x:is>
          <x:t xml:space="preserve">2025-06</x:t>
        </x:is>
      </x:c>
    </x:row>
    <x:row r="4">
      <x:c r="A4" s="8" t="inlineStr">
        <x:is>
          <x:t xml:space="preserve">Receitas</x:t>
        </x:is>
      </x:c>
      <x:c r="B4" s="15">
        <x:f>ROUND(SUMIFS(Lancamentos!$R:$R,Lancamentos!$C:$C,B$3,Lancamentos!$D:$D,"Receita"),2)</x:f>
        <x:v>108740.49</x:v>
      </x:c>
      <x:c r="C4" s="15">
        <x:f>ROUND(SUMIFS(Lancamentos!$R:$R,Lancamentos!$C:$C,C$3,Lancamentos!$D:$D,"Receita"),2)</x:f>
        <x:v>139445.38</x:v>
      </x:c>
      <x:c r="D4" s="15">
        <x:f>ROUND(SUMIFS(Lancamentos!$R:$R,Lancamentos!$C:$C,D$3,Lancamentos!$D:$D,"Receita"),2)</x:f>
        <x:v>275738.78</x:v>
      </x:c>
      <x:c r="E4" s="15">
        <x:f>ROUND(SUMIFS(Lancamentos!$R:$R,Lancamentos!$C:$C,E$3,Lancamentos!$D:$D,"Receita"),2)</x:f>
        <x:v>247138.46</x:v>
      </x:c>
      <x:c r="F4" s="15">
        <x:f>ROUND(SUMIFS(Lancamentos!$R:$R,Lancamentos!$C:$C,F$3,Lancamentos!$D:$D,"Receita"),2)</x:f>
        <x:v>188457.07</x:v>
      </x:c>
      <x:c r="G4" s="15">
        <x:f>ROUND(SUMIFS(Lancamentos!$R:$R,Lancamentos!$C:$C,G$3,Lancamentos!$D:$D,"Receita"),2)</x:f>
        <x:v>111216.44</x:v>
      </x:c>
    </x:row>
    <x:row r="5">
      <x:c r="A5" s="8" t="inlineStr">
        <x:is>
          <x:t xml:space="preserve">Despesas</x:t>
        </x:is>
      </x:c>
      <x:c r="B5" s="15">
        <x:f>ROUND(-SUMIFS(Lancamentos!$R:$R,Lancamentos!$C:$C,B$3,Lancamentos!$D:$D,"Despesa"),2)</x:f>
        <x:v>177082.66</x:v>
      </x:c>
      <x:c r="C5" s="15">
        <x:f>ROUND(-SUMIFS(Lancamentos!$R:$R,Lancamentos!$C:$C,C$3,Lancamentos!$D:$D,"Despesa"),2)</x:f>
        <x:v>143184.3</x:v>
      </x:c>
      <x:c r="D5" s="15">
        <x:f>ROUND(-SUMIFS(Lancamentos!$R:$R,Lancamentos!$C:$C,D$3,Lancamentos!$D:$D,"Despesa"),2)</x:f>
        <x:v>195151.89</x:v>
      </x:c>
      <x:c r="E5" s="15">
        <x:f>ROUND(-SUMIFS(Lancamentos!$R:$R,Lancamentos!$C:$C,E$3,Lancamentos!$D:$D,"Despesa"),2)</x:f>
        <x:v>184617.86</x:v>
      </x:c>
      <x:c r="F5" s="15">
        <x:f>ROUND(-SUMIFS(Lancamentos!$R:$R,Lancamentos!$C:$C,F$3,Lancamentos!$D:$D,"Despesa"),2)</x:f>
        <x:v>201658.3</x:v>
      </x:c>
      <x:c r="G5" s="15">
        <x:f>ROUND(-SUMIFS(Lancamentos!$R:$R,Lancamentos!$C:$C,G$3,Lancamentos!$D:$D,"Despesa"),2)</x:f>
        <x:v>219749.79</x:v>
      </x:c>
    </x:row>
    <x:row r="6">
      <x:c r="A6" s="8" t="inlineStr">
        <x:is>
          <x:t xml:space="preserve">Resultado Líquido</x:t>
        </x:is>
      </x:c>
      <x:c r="B6" s="15">
        <x:f>ROUND(B4-B5,2)</x:f>
        <x:v>-68342.17</x:v>
      </x:c>
      <x:c r="C6" s="15">
        <x:f>ROUND(C4-C5,2)</x:f>
        <x:v>-3738.92</x:v>
      </x:c>
      <x:c r="D6" s="15">
        <x:f>ROUND(D4-D5,2)</x:f>
        <x:v>80586.89</x:v>
      </x:c>
      <x:c r="E6" s="15">
        <x:f>ROUND(E4-E5,2)</x:f>
        <x:v>62520.6</x:v>
      </x:c>
      <x:c r="F6" s="15">
        <x:f>ROUND(F4-F5,2)</x:f>
        <x:v>-13201.23</x:v>
      </x:c>
      <x:c r="G6" s="15">
        <x:f>ROUND(G4-G5,2)</x:f>
        <x:v>-108533.35</x:v>
      </x:c>
    </x:row>
    <x:row r="7">
      <x:c r="A7" s="8" t="inlineStr">
        <x:is>
          <x:t xml:space="preserve">Margem %</x:t>
        </x:is>
      </x:c>
      <x:c r="B7" s="16">
        <x:f>IFERROR(ROUND(B6/B4,4),0)</x:f>
        <x:v>-0.6285</x:v>
      </x:c>
      <x:c r="C7" s="16">
        <x:f>IFERROR(ROUND(C6/C4,4),0)</x:f>
        <x:v>-0.0268</x:v>
      </x:c>
      <x:c r="D7" s="16">
        <x:f>IFERROR(ROUND(D6/D4,4),0)</x:f>
        <x:v>0.2923</x:v>
      </x:c>
      <x:c r="E7" s="16">
        <x:f>IFERROR(ROUND(E6/E4,4),0)</x:f>
        <x:v>0.253</x:v>
      </x:c>
      <x:c r="F7" s="16">
        <x:f>IFERROR(ROUND(F6/F4,4),0)</x:f>
        <x:v>-0.07</x:v>
      </x:c>
      <x:c r="G7" s="16">
        <x:f>IFERROR(ROUND(G6/G4,4),0)</x:f>
        <x:v>-0.9759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  <x:col min="3" max="3" width="24" customWidth="1"/>
    <x:col min="4" max="4" width="24" customWidth="1"/>
  </x:cols>
  <x:sheetData>
    <x:row r="1">
      <x:c r="A1" s="12" t="inlineStr">
        <x:is>
          <x:t xml:space="preserve">Tipo</x:t>
        </x:is>
      </x:c>
      <x:c r="B1" s="12" t="inlineStr">
        <x:is>
          <x:t xml:space="preserve">Categoria</x:t>
        </x:is>
      </x:c>
      <x:c r="C1" s="12" t="inlineStr">
        <x:is>
          <x:t xml:space="preserve">Subcategoria</x:t>
        </x:is>
      </x:c>
      <x:c r="D1" s="12" t="inlineStr">
        <x:is>
          <x:t xml:space="preserve">Centro_Custo_Padrao</x:t>
        </x:is>
      </x:c>
    </x:row>
    <x:row r="2">
      <x:c r="A2" t="inlineStr">
        <x:is>
          <x:t xml:space="preserve">Receita</x:t>
        </x:is>
      </x:c>
      <x:c r="B2" t="inlineStr">
        <x:is>
          <x:t xml:space="preserve">Vendas</x:t>
        </x:is>
      </x:c>
      <x:c r="C2" t="inlineStr">
        <x:is>
          <x:t xml:space="preserve">Produto A</x:t>
        </x:is>
      </x:c>
      <x:c r="D2" t="inlineStr">
        <x:is>
          <x:t xml:space="preserve">Comercial</x:t>
        </x:is>
      </x:c>
    </x:row>
    <x:row r="3">
      <x:c r="A3" t="inlineStr">
        <x:is>
          <x:t xml:space="preserve">Receita</x:t>
        </x:is>
      </x:c>
      <x:c r="B3" t="inlineStr">
        <x:is>
          <x:t xml:space="preserve">Vendas</x:t>
        </x:is>
      </x:c>
      <x:c r="C3" t="inlineStr">
        <x:is>
          <x:t xml:space="preserve">Produto B</x:t>
        </x:is>
      </x:c>
      <x:c r="D3" t="inlineStr">
        <x:is>
          <x:t xml:space="preserve">Comercial</x:t>
        </x:is>
      </x:c>
    </x:row>
    <x:row r="4">
      <x:c r="A4" t="inlineStr">
        <x:is>
          <x:t xml:space="preserve">Receita</x:t>
        </x:is>
      </x:c>
      <x:c r="B4" t="inlineStr">
        <x:is>
          <x:t xml:space="preserve">Vendas</x:t>
        </x:is>
      </x:c>
      <x:c r="C4" t="inlineStr">
        <x:is>
          <x:t xml:space="preserve">Serviço de Implantação</x:t>
        </x:is>
      </x:c>
      <x:c r="D4" t="inlineStr">
        <x:is>
          <x:t xml:space="preserve">Comercial</x:t>
        </x:is>
      </x:c>
    </x:row>
    <x:row r="5">
      <x:c r="A5" t="inlineStr">
        <x:is>
          <x:t xml:space="preserve">Receita</x:t>
        </x:is>
      </x:c>
      <x:c r="B5" t="inlineStr">
        <x:is>
          <x:t xml:space="preserve">Vendas</x:t>
        </x:is>
      </x:c>
      <x:c r="C5" t="inlineStr">
        <x:is>
          <x:t xml:space="preserve">Assinatura Mensal</x:t>
        </x:is>
      </x:c>
      <x:c r="D5" t="inlineStr">
        <x:is>
          <x:t xml:space="preserve">Comercial</x:t>
        </x:is>
      </x:c>
    </x:row>
    <x:row r="6">
      <x:c r="A6" t="inlineStr">
        <x:is>
          <x:t xml:space="preserve">Receita</x:t>
        </x:is>
      </x:c>
      <x:c r="B6" t="inlineStr">
        <x:is>
          <x:t xml:space="preserve">Receita Financeira</x:t>
        </x:is>
      </x:c>
      <x:c r="C6" t="inlineStr">
        <x:is>
          <x:t xml:space="preserve">Rendimento Conta</x:t>
        </x:is>
      </x:c>
      <x:c r="D6" t="inlineStr">
        <x:is>
          <x:t xml:space="preserve">Comercial</x:t>
        </x:is>
      </x:c>
    </x:row>
    <x:row r="7">
      <x:c r="A7" t="inlineStr">
        <x:is>
          <x:t xml:space="preserve">Receita</x:t>
        </x:is>
      </x:c>
      <x:c r="B7" t="inlineStr">
        <x:is>
          <x:t xml:space="preserve">Receita Financeira</x:t>
        </x:is>
      </x:c>
      <x:c r="C7" t="inlineStr">
        <x:is>
          <x:t xml:space="preserve">Juros Recebidos</x:t>
        </x:is>
      </x:c>
      <x:c r="D7" t="inlineStr">
        <x:is>
          <x:t xml:space="preserve">Comercial</x:t>
        </x:is>
      </x:c>
    </x:row>
    <x:row r="8">
      <x:c r="A8" t="inlineStr">
        <x:is>
          <x:t xml:space="preserve">Receita</x:t>
        </x:is>
      </x:c>
      <x:c r="B8" t="inlineStr">
        <x:is>
          <x:t xml:space="preserve">Outras Receitas</x:t>
        </x:is>
      </x:c>
      <x:c r="C8" t="inlineStr">
        <x:is>
          <x:t xml:space="preserve">Reembolso</x:t>
        </x:is>
      </x:c>
      <x:c r="D8" t="inlineStr">
        <x:is>
          <x:t xml:space="preserve">Comercial</x:t>
        </x:is>
      </x:c>
    </x:row>
    <x:row r="9">
      <x:c r="A9" t="inlineStr">
        <x:is>
          <x:t xml:space="preserve">Receita</x:t>
        </x:is>
      </x:c>
      <x:c r="B9" t="inlineStr">
        <x:is>
          <x:t xml:space="preserve">Outras Receitas</x:t>
        </x:is>
      </x:c>
      <x:c r="C9" t="inlineStr">
        <x:is>
          <x:t xml:space="preserve">Venda de Ativo</x:t>
        </x:is>
      </x:c>
      <x:c r="D9" t="inlineStr">
        <x:is>
          <x:t xml:space="preserve">Comercial</x:t>
        </x:is>
      </x:c>
    </x:row>
    <x:row r="10">
      <x:c r="A10" t="inlineStr">
        <x:is>
          <x:t xml:space="preserve">Despesa</x:t>
        </x:is>
      </x:c>
      <x:c r="B10" t="inlineStr">
        <x:is>
          <x:t xml:space="preserve">Folha</x:t>
        </x:is>
      </x:c>
      <x:c r="C10" t="inlineStr">
        <x:is>
          <x:t xml:space="preserve">Salários</x:t>
        </x:is>
      </x:c>
      <x:c r="D10" t="inlineStr">
        <x:is>
          <x:t xml:space="preserve">Backoffice</x:t>
        </x:is>
      </x:c>
    </x:row>
    <x:row r="11">
      <x:c r="A11" t="inlineStr">
        <x:is>
          <x:t xml:space="preserve">Despesa</x:t>
        </x:is>
      </x:c>
      <x:c r="B11" t="inlineStr">
        <x:is>
          <x:t xml:space="preserve">Folha</x:t>
        </x:is>
      </x:c>
      <x:c r="C11" t="inlineStr">
        <x:is>
          <x:t xml:space="preserve">Encargos</x:t>
        </x:is>
      </x:c>
      <x:c r="D11" t="inlineStr">
        <x:is>
          <x:t xml:space="preserve">Backoffice</x:t>
        </x:is>
      </x:c>
    </x:row>
    <x:row r="12">
      <x:c r="A12" t="inlineStr">
        <x:is>
          <x:t xml:space="preserve">Despesa</x:t>
        </x:is>
      </x:c>
      <x:c r="B12" t="inlineStr">
        <x:is>
          <x:t xml:space="preserve">Folha</x:t>
        </x:is>
      </x:c>
      <x:c r="C12" t="inlineStr">
        <x:is>
          <x:t xml:space="preserve">Benefícios</x:t>
        </x:is>
      </x:c>
      <x:c r="D12" t="inlineStr">
        <x:is>
          <x:t xml:space="preserve">Backoffice</x:t>
        </x:is>
      </x:c>
    </x:row>
    <x:row r="13">
      <x:c r="A13" t="inlineStr">
        <x:is>
          <x:t xml:space="preserve">Despesa</x:t>
        </x:is>
      </x:c>
      <x:c r="B13" t="inlineStr">
        <x:is>
          <x:t xml:space="preserve">Marketing</x:t>
        </x:is>
      </x:c>
      <x:c r="C13" t="inlineStr">
        <x:is>
          <x:t xml:space="preserve">Anúncios</x:t>
        </x:is>
      </x:c>
      <x:c r="D13" t="inlineStr">
        <x:is>
          <x:t xml:space="preserve">Comercial</x:t>
        </x:is>
      </x:c>
    </x:row>
    <x:row r="14">
      <x:c r="A14" t="inlineStr">
        <x:is>
          <x:t xml:space="preserve">Despesa</x:t>
        </x:is>
      </x:c>
      <x:c r="B14" t="inlineStr">
        <x:is>
          <x:t xml:space="preserve">Marketing</x:t>
        </x:is>
      </x:c>
      <x:c r="C14" t="inlineStr">
        <x:is>
          <x:t xml:space="preserve">Eventos</x:t>
        </x:is>
      </x:c>
      <x:c r="D14" t="inlineStr">
        <x:is>
          <x:t xml:space="preserve">Comercial</x:t>
        </x:is>
      </x:c>
    </x:row>
    <x:row r="15">
      <x:c r="A15" t="inlineStr">
        <x:is>
          <x:t xml:space="preserve">Despesa</x:t>
        </x:is>
      </x:c>
      <x:c r="B15" t="inlineStr">
        <x:is>
          <x:t xml:space="preserve">Marketing</x:t>
        </x:is>
      </x:c>
      <x:c r="C15" t="inlineStr">
        <x:is>
          <x:t xml:space="preserve">Design</x:t>
        </x:is>
      </x:c>
      <x:c r="D15" t="inlineStr">
        <x:is>
          <x:t xml:space="preserve">Comercial</x:t>
        </x:is>
      </x:c>
    </x:row>
    <x:row r="16">
      <x:c r="A16" t="inlineStr">
        <x:is>
          <x:t xml:space="preserve">Despesa</x:t>
        </x:is>
      </x:c>
      <x:c r="B16" t="inlineStr">
        <x:is>
          <x:t xml:space="preserve">Tecnologia</x:t>
        </x:is>
      </x:c>
      <x:c r="C16" t="inlineStr">
        <x:is>
          <x:t xml:space="preserve">Cloud</x:t>
        </x:is>
      </x:c>
      <x:c r="D16" t="inlineStr">
        <x:is>
          <x:t xml:space="preserve">TI</x:t>
        </x:is>
      </x:c>
    </x:row>
    <x:row r="17">
      <x:c r="A17" t="inlineStr">
        <x:is>
          <x:t xml:space="preserve">Despesa</x:t>
        </x:is>
      </x:c>
      <x:c r="B17" t="inlineStr">
        <x:is>
          <x:t xml:space="preserve">Tecnologia</x:t>
        </x:is>
      </x:c>
      <x:c r="C17" t="inlineStr">
        <x:is>
          <x:t xml:space="preserve">Licenças</x:t>
        </x:is>
      </x:c>
      <x:c r="D17" t="inlineStr">
        <x:is>
          <x:t xml:space="preserve">TI</x:t>
        </x:is>
      </x:c>
    </x:row>
    <x:row r="18">
      <x:c r="A18" t="inlineStr">
        <x:is>
          <x:t xml:space="preserve">Despesa</x:t>
        </x:is>
      </x:c>
      <x:c r="B18" t="inlineStr">
        <x:is>
          <x:t xml:space="preserve">Tecnologia</x:t>
        </x:is>
      </x:c>
      <x:c r="C18" t="inlineStr">
        <x:is>
          <x:t xml:space="preserve">Equipamentos</x:t>
        </x:is>
      </x:c>
      <x:c r="D18" t="inlineStr">
        <x:is>
          <x:t xml:space="preserve">TI</x:t>
        </x:is>
      </x:c>
    </x:row>
    <x:row r="19">
      <x:c r="A19" t="inlineStr">
        <x:is>
          <x:t xml:space="preserve">Despesa</x:t>
        </x:is>
      </x:c>
      <x:c r="B19" t="inlineStr">
        <x:is>
          <x:t xml:space="preserve">Operacional</x:t>
        </x:is>
      </x:c>
      <x:c r="C19" t="inlineStr">
        <x:is>
          <x:t xml:space="preserve">Frete</x:t>
        </x:is>
      </x:c>
      <x:c r="D19" t="inlineStr">
        <x:is>
          <x:t xml:space="preserve">Operações</x:t>
        </x:is>
      </x:c>
    </x:row>
    <x:row r="20">
      <x:c r="A20" t="inlineStr">
        <x:is>
          <x:t xml:space="preserve">Despesa</x:t>
        </x:is>
      </x:c>
      <x:c r="B20" t="inlineStr">
        <x:is>
          <x:t xml:space="preserve">Operacional</x:t>
        </x:is>
      </x:c>
      <x:c r="C20" t="inlineStr">
        <x:is>
          <x:t xml:space="preserve">Manutenção</x:t>
        </x:is>
      </x:c>
      <x:c r="D20" t="inlineStr">
        <x:is>
          <x:t xml:space="preserve">Operações</x:t>
        </x:is>
      </x:c>
    </x:row>
    <x:row r="21">
      <x:c r="A21" t="inlineStr">
        <x:is>
          <x:t xml:space="preserve">Despesa</x:t>
        </x:is>
      </x:c>
      <x:c r="B21" t="inlineStr">
        <x:is>
          <x:t xml:space="preserve">Operacional</x:t>
        </x:is>
      </x:c>
      <x:c r="C21" t="inlineStr">
        <x:is>
          <x:t xml:space="preserve">Material de Escritório</x:t>
        </x:is>
      </x:c>
      <x:c r="D21" t="inlineStr">
        <x:is>
          <x:t xml:space="preserve">Operações</x:t>
        </x:is>
      </x:c>
    </x:row>
    <x:row r="22">
      <x:c r="A22" t="inlineStr">
        <x:is>
          <x:t xml:space="preserve">Despesa</x:t>
        </x:is>
      </x:c>
      <x:c r="B22" t="inlineStr">
        <x:is>
          <x:t xml:space="preserve">Administrativo</x:t>
        </x:is>
      </x:c>
      <x:c r="C22" t="inlineStr">
        <x:is>
          <x:t xml:space="preserve">Contabilidade</x:t>
        </x:is>
      </x:c>
      <x:c r="D22" t="inlineStr">
        <x:is>
          <x:t xml:space="preserve">Backoffice</x:t>
        </x:is>
      </x:c>
    </x:row>
    <x:row r="23">
      <x:c r="A23" t="inlineStr">
        <x:is>
          <x:t xml:space="preserve">Despesa</x:t>
        </x:is>
      </x:c>
      <x:c r="B23" t="inlineStr">
        <x:is>
          <x:t xml:space="preserve">Administrativo</x:t>
        </x:is>
      </x:c>
      <x:c r="C23" t="inlineStr">
        <x:is>
          <x:t xml:space="preserve">Jurídico</x:t>
        </x:is>
      </x:c>
      <x:c r="D23" t="inlineStr">
        <x:is>
          <x:t xml:space="preserve">Backoffice</x:t>
        </x:is>
      </x:c>
    </x:row>
    <x:row r="24">
      <x:c r="A24" t="inlineStr">
        <x:is>
          <x:t xml:space="preserve">Despesa</x:t>
        </x:is>
      </x:c>
      <x:c r="B24" t="inlineStr">
        <x:is>
          <x:t xml:space="preserve">Administrativo</x:t>
        </x:is>
      </x:c>
      <x:c r="C24" t="inlineStr">
        <x:is>
          <x:t xml:space="preserve">Aluguel</x:t>
        </x:is>
      </x:c>
      <x:c r="D24" t="inlineStr">
        <x:is>
          <x:t xml:space="preserve">Backoffice</x:t>
        </x:is>
      </x:c>
    </x:row>
    <x:row r="25">
      <x:c r="A25" t="inlineStr">
        <x:is>
          <x:t xml:space="preserve">Despesa</x:t>
        </x:is>
      </x:c>
      <x:c r="B25" t="inlineStr">
        <x:is>
          <x:t xml:space="preserve">Administrativo</x:t>
        </x:is>
      </x:c>
      <x:c r="C25" t="inlineStr">
        <x:is>
          <x:t xml:space="preserve">Energia</x:t>
        </x:is>
      </x:c>
      <x:c r="D25" t="inlineStr">
        <x:is>
          <x:t xml:space="preserve">Backoffice</x:t>
        </x:is>
      </x:c>
    </x:row>
  </x:sheetData>
  <x:pageMargins left="0.7" right="0.7" top="0.75" bottom="0.75" header="0.3" footer="0.3"/>
</x:worksheet>
</file>